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709"/>
  <workbookPr showInkAnnotation="0" autoCompressPictures="0"/>
  <bookViews>
    <workbookView xWindow="12180" yWindow="4640" windowWidth="25360" windowHeight="13000" tabRatio="500" firstSheet="2" activeTab="5"/>
  </bookViews>
  <sheets>
    <sheet name="Hasenauer" sheetId="1" r:id="rId1"/>
    <sheet name="Hasenauer-Variabelen" sheetId="2" r:id="rId2"/>
    <sheet name="Hein" sheetId="3" r:id="rId3"/>
    <sheet name="Hein_onder_elkaar" sheetId="4" r:id="rId4"/>
    <sheet name="Hemery-Variabelen" sheetId="5" r:id="rId5"/>
    <sheet name="Hemery_onder_elkaar" sheetId="6" r:id="rId6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88" i="6" l="1"/>
  <c r="C87" i="6"/>
  <c r="H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G87" i="6"/>
  <c r="H87" i="6"/>
  <c r="G88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2" i="6"/>
  <c r="F2" i="6"/>
  <c r="F4" i="6"/>
  <c r="F3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2" i="6"/>
  <c r="C62" i="6"/>
  <c r="C63" i="6"/>
  <c r="C3" i="6"/>
  <c r="D3" i="6"/>
  <c r="C4" i="6"/>
  <c r="D4" i="6"/>
  <c r="C5" i="6"/>
  <c r="D5" i="6"/>
  <c r="C6" i="6"/>
  <c r="D6" i="6"/>
  <c r="C7" i="6"/>
  <c r="D7" i="6"/>
  <c r="C8" i="6"/>
  <c r="D8" i="6"/>
  <c r="C9" i="6"/>
  <c r="D9" i="6"/>
  <c r="C10" i="6"/>
  <c r="D10" i="6"/>
  <c r="C11" i="6"/>
  <c r="D11" i="6"/>
  <c r="C12" i="6"/>
  <c r="D12" i="6"/>
  <c r="C13" i="6"/>
  <c r="D13" i="6"/>
  <c r="C14" i="6"/>
  <c r="D14" i="6"/>
  <c r="C15" i="6"/>
  <c r="D15" i="6"/>
  <c r="C16" i="6"/>
  <c r="D16" i="6"/>
  <c r="C17" i="6"/>
  <c r="D17" i="6"/>
  <c r="C18" i="6"/>
  <c r="D18" i="6"/>
  <c r="C19" i="6"/>
  <c r="D19" i="6"/>
  <c r="C20" i="6"/>
  <c r="D20" i="6"/>
  <c r="C21" i="6"/>
  <c r="D21" i="6"/>
  <c r="C22" i="6"/>
  <c r="D22" i="6"/>
  <c r="C23" i="6"/>
  <c r="D23" i="6"/>
  <c r="C24" i="6"/>
  <c r="D24" i="6"/>
  <c r="C25" i="6"/>
  <c r="D25" i="6"/>
  <c r="C26" i="6"/>
  <c r="D26" i="6"/>
  <c r="C27" i="6"/>
  <c r="D27" i="6"/>
  <c r="C28" i="6"/>
  <c r="D28" i="6"/>
  <c r="C29" i="6"/>
  <c r="D29" i="6"/>
  <c r="C30" i="6"/>
  <c r="D30" i="6"/>
  <c r="C31" i="6"/>
  <c r="D31" i="6"/>
  <c r="C32" i="6"/>
  <c r="D32" i="6"/>
  <c r="C33" i="6"/>
  <c r="D33" i="6"/>
  <c r="C34" i="6"/>
  <c r="D34" i="6"/>
  <c r="C35" i="6"/>
  <c r="D35" i="6"/>
  <c r="C36" i="6"/>
  <c r="D36" i="6"/>
  <c r="C37" i="6"/>
  <c r="D37" i="6"/>
  <c r="C38" i="6"/>
  <c r="D38" i="6"/>
  <c r="C39" i="6"/>
  <c r="D39" i="6"/>
  <c r="C40" i="6"/>
  <c r="D40" i="6"/>
  <c r="C41" i="6"/>
  <c r="D41" i="6"/>
  <c r="C42" i="6"/>
  <c r="D42" i="6"/>
  <c r="C43" i="6"/>
  <c r="D43" i="6"/>
  <c r="C44" i="6"/>
  <c r="D44" i="6"/>
  <c r="C45" i="6"/>
  <c r="D45" i="6"/>
  <c r="C46" i="6"/>
  <c r="D46" i="6"/>
  <c r="C47" i="6"/>
  <c r="D47" i="6"/>
  <c r="C48" i="6"/>
  <c r="D48" i="6"/>
  <c r="C49" i="6"/>
  <c r="D49" i="6"/>
  <c r="C50" i="6"/>
  <c r="D50" i="6"/>
  <c r="C51" i="6"/>
  <c r="D51" i="6"/>
  <c r="C52" i="6"/>
  <c r="D52" i="6"/>
  <c r="C53" i="6"/>
  <c r="D53" i="6"/>
  <c r="C54" i="6"/>
  <c r="D54" i="6"/>
  <c r="C55" i="6"/>
  <c r="D55" i="6"/>
  <c r="C56" i="6"/>
  <c r="D56" i="6"/>
  <c r="C57" i="6"/>
  <c r="D57" i="6"/>
  <c r="C58" i="6"/>
  <c r="D58" i="6"/>
  <c r="C59" i="6"/>
  <c r="D59" i="6"/>
  <c r="C60" i="6"/>
  <c r="D60" i="6"/>
  <c r="C61" i="6"/>
  <c r="D61" i="6"/>
  <c r="D62" i="6"/>
  <c r="D63" i="6"/>
  <c r="C64" i="6"/>
  <c r="D64" i="6"/>
  <c r="C65" i="6"/>
  <c r="D65" i="6"/>
  <c r="C66" i="6"/>
  <c r="D66" i="6"/>
  <c r="C67" i="6"/>
  <c r="D67" i="6"/>
  <c r="C68" i="6"/>
  <c r="D68" i="6"/>
  <c r="C69" i="6"/>
  <c r="D69" i="6"/>
  <c r="C70" i="6"/>
  <c r="D70" i="6"/>
  <c r="C71" i="6"/>
  <c r="D71" i="6"/>
  <c r="C72" i="6"/>
  <c r="D72" i="6"/>
  <c r="C73" i="6"/>
  <c r="D73" i="6"/>
  <c r="C74" i="6"/>
  <c r="D74" i="6"/>
  <c r="C75" i="6"/>
  <c r="D75" i="6"/>
  <c r="C76" i="6"/>
  <c r="D76" i="6"/>
  <c r="C77" i="6"/>
  <c r="D77" i="6"/>
  <c r="C78" i="6"/>
  <c r="D78" i="6"/>
  <c r="C79" i="6"/>
  <c r="D79" i="6"/>
  <c r="C80" i="6"/>
  <c r="D80" i="6"/>
  <c r="C81" i="6"/>
  <c r="D81" i="6"/>
  <c r="C82" i="6"/>
  <c r="D82" i="6"/>
  <c r="C83" i="6"/>
  <c r="D83" i="6"/>
  <c r="C84" i="6"/>
  <c r="D84" i="6"/>
  <c r="C85" i="6"/>
  <c r="D85" i="6"/>
  <c r="C86" i="6"/>
  <c r="D86" i="6"/>
  <c r="D87" i="6"/>
  <c r="D88" i="6"/>
  <c r="C89" i="6"/>
  <c r="D89" i="6"/>
  <c r="C90" i="6"/>
  <c r="D90" i="6"/>
  <c r="C91" i="6"/>
  <c r="D91" i="6"/>
  <c r="C92" i="6"/>
  <c r="D92" i="6"/>
  <c r="C93" i="6"/>
  <c r="D93" i="6"/>
  <c r="C94" i="6"/>
  <c r="D94" i="6"/>
  <c r="C95" i="6"/>
  <c r="D95" i="6"/>
  <c r="C96" i="6"/>
  <c r="D96" i="6"/>
  <c r="C97" i="6"/>
  <c r="D97" i="6"/>
  <c r="C98" i="6"/>
  <c r="D98" i="6"/>
  <c r="C99" i="6"/>
  <c r="D99" i="6"/>
  <c r="C100" i="6"/>
  <c r="D100" i="6"/>
  <c r="C101" i="6"/>
  <c r="D101" i="6"/>
  <c r="C102" i="6"/>
  <c r="D102" i="6"/>
  <c r="C103" i="6"/>
  <c r="D103" i="6"/>
  <c r="C104" i="6"/>
  <c r="D104" i="6"/>
  <c r="C105" i="6"/>
  <c r="D105" i="6"/>
  <c r="C106" i="6"/>
  <c r="D106" i="6"/>
  <c r="C107" i="6"/>
  <c r="D107" i="6"/>
  <c r="C108" i="6"/>
  <c r="D108" i="6"/>
  <c r="C109" i="6"/>
  <c r="D109" i="6"/>
  <c r="C110" i="6"/>
  <c r="D110" i="6"/>
  <c r="C111" i="6"/>
  <c r="D111" i="6"/>
  <c r="C112" i="6"/>
  <c r="D112" i="6"/>
  <c r="C113" i="6"/>
  <c r="D113" i="6"/>
  <c r="C114" i="6"/>
  <c r="D114" i="6"/>
  <c r="C115" i="6"/>
  <c r="D115" i="6"/>
  <c r="C116" i="6"/>
  <c r="D116" i="6"/>
  <c r="C117" i="6"/>
  <c r="D117" i="6"/>
  <c r="C118" i="6"/>
  <c r="D118" i="6"/>
  <c r="C119" i="6"/>
  <c r="D119" i="6"/>
  <c r="C120" i="6"/>
  <c r="D120" i="6"/>
  <c r="C121" i="6"/>
  <c r="D121" i="6"/>
  <c r="C122" i="6"/>
  <c r="D122" i="6"/>
  <c r="C123" i="6"/>
  <c r="D123" i="6"/>
  <c r="C124" i="6"/>
  <c r="D124" i="6"/>
  <c r="C125" i="6"/>
  <c r="D125" i="6"/>
  <c r="C126" i="6"/>
  <c r="D126" i="6"/>
  <c r="C127" i="6"/>
  <c r="D127" i="6"/>
  <c r="C128" i="6"/>
  <c r="D128" i="6"/>
  <c r="C129" i="6"/>
  <c r="D129" i="6"/>
  <c r="C130" i="6"/>
  <c r="D130" i="6"/>
  <c r="C131" i="6"/>
  <c r="D131" i="6"/>
  <c r="C132" i="6"/>
  <c r="D132" i="6"/>
  <c r="C133" i="6"/>
  <c r="D133" i="6"/>
  <c r="C134" i="6"/>
  <c r="D134" i="6"/>
  <c r="C135" i="6"/>
  <c r="D135" i="6"/>
  <c r="C136" i="6"/>
  <c r="D136" i="6"/>
  <c r="C137" i="6"/>
  <c r="D137" i="6"/>
  <c r="C138" i="6"/>
  <c r="D138" i="6"/>
  <c r="C139" i="6"/>
  <c r="D139" i="6"/>
  <c r="C140" i="6"/>
  <c r="D140" i="6"/>
  <c r="C141" i="6"/>
  <c r="D141" i="6"/>
  <c r="C142" i="6"/>
  <c r="D142" i="6"/>
  <c r="C143" i="6"/>
  <c r="D143" i="6"/>
  <c r="C144" i="6"/>
  <c r="D144" i="6"/>
  <c r="C145" i="6"/>
  <c r="D145" i="6"/>
  <c r="C146" i="6"/>
  <c r="D146" i="6"/>
  <c r="C147" i="6"/>
  <c r="D147" i="6"/>
  <c r="C148" i="6"/>
  <c r="D148" i="6"/>
  <c r="C149" i="6"/>
  <c r="D149" i="6"/>
  <c r="C150" i="6"/>
  <c r="D150" i="6"/>
  <c r="C151" i="6"/>
  <c r="D151" i="6"/>
  <c r="C152" i="6"/>
  <c r="D152" i="6"/>
  <c r="C153" i="6"/>
  <c r="D153" i="6"/>
  <c r="C154" i="6"/>
  <c r="D154" i="6"/>
  <c r="C155" i="6"/>
  <c r="D155" i="6"/>
  <c r="C156" i="6"/>
  <c r="D156" i="6"/>
  <c r="C2" i="6"/>
  <c r="D2" i="6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6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42" i="4"/>
  <c r="D38" i="4"/>
  <c r="D37" i="4"/>
  <c r="D36" i="4"/>
  <c r="D35" i="4"/>
  <c r="D34" i="4"/>
  <c r="D33" i="4"/>
  <c r="D32" i="4"/>
  <c r="D31" i="4"/>
  <c r="D30" i="4"/>
  <c r="D29" i="4"/>
  <c r="D28" i="4"/>
  <c r="D27" i="4"/>
  <c r="D26" i="4"/>
  <c r="D25" i="4"/>
  <c r="D24" i="4"/>
  <c r="D23" i="4"/>
  <c r="D22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6" i="3"/>
  <c r="I19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F6" i="3"/>
  <c r="H6" i="3"/>
  <c r="E6" i="3"/>
  <c r="G6" i="3"/>
  <c r="G16" i="3"/>
  <c r="G17" i="3"/>
  <c r="G18" i="3"/>
  <c r="G19" i="3"/>
  <c r="G20" i="3"/>
  <c r="G21" i="3"/>
  <c r="G22" i="3"/>
  <c r="G23" i="3"/>
  <c r="G24" i="3"/>
  <c r="G25" i="3"/>
  <c r="G7" i="3"/>
  <c r="G8" i="3"/>
  <c r="G9" i="3"/>
  <c r="G10" i="3"/>
  <c r="G11" i="3"/>
  <c r="G12" i="3"/>
  <c r="G13" i="3"/>
  <c r="G14" i="3"/>
  <c r="G15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C3" i="3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2" i="1"/>
</calcChain>
</file>

<file path=xl/sharedStrings.xml><?xml version="1.0" encoding="utf-8"?>
<sst xmlns="http://schemas.openxmlformats.org/spreadsheetml/2006/main" count="698" uniqueCount="53">
  <si>
    <t>Eik</t>
  </si>
  <si>
    <t>DBH</t>
  </si>
  <si>
    <t>Boomsoort</t>
  </si>
  <si>
    <t>Kroondiameter</t>
  </si>
  <si>
    <t>Grove den</t>
  </si>
  <si>
    <t>Fijnspar</t>
  </si>
  <si>
    <t>Zilverden</t>
  </si>
  <si>
    <t>Lariks</t>
  </si>
  <si>
    <t>Zwarte den</t>
  </si>
  <si>
    <t>Beuk</t>
  </si>
  <si>
    <t>Esdoorn</t>
  </si>
  <si>
    <t>Es</t>
  </si>
  <si>
    <t>Linde</t>
  </si>
  <si>
    <t>Parasolden</t>
  </si>
  <si>
    <t>Soort</t>
  </si>
  <si>
    <t>A</t>
  </si>
  <si>
    <t>B</t>
  </si>
  <si>
    <t>Picea</t>
  </si>
  <si>
    <t>Larix</t>
  </si>
  <si>
    <t>Abies</t>
  </si>
  <si>
    <t>Pinus</t>
  </si>
  <si>
    <t>Pinus pinea</t>
  </si>
  <si>
    <t>Pinus nigra</t>
  </si>
  <si>
    <t>Fagus</t>
  </si>
  <si>
    <t>Quercus</t>
  </si>
  <si>
    <t>Acer</t>
  </si>
  <si>
    <t>Fraxinus</t>
  </si>
  <si>
    <t>Tillia</t>
  </si>
  <si>
    <t>Bron</t>
  </si>
  <si>
    <t>Hasenauer (1997)</t>
  </si>
  <si>
    <t>Opstand</t>
  </si>
  <si>
    <t>Boom</t>
  </si>
  <si>
    <t>Leeftijd</t>
  </si>
  <si>
    <t>Kroon</t>
  </si>
  <si>
    <t>Es (opstand)</t>
  </si>
  <si>
    <t>Esdoorn (opstand)</t>
  </si>
  <si>
    <t>Es (solitair)</t>
  </si>
  <si>
    <t>Esdoorn (solitair)</t>
  </si>
  <si>
    <t>Gewone esdoorn</t>
  </si>
  <si>
    <t>Berk</t>
  </si>
  <si>
    <t>Tamme kastanje</t>
  </si>
  <si>
    <t>Walnoot</t>
  </si>
  <si>
    <t>Populier</t>
  </si>
  <si>
    <t>Zoete kers</t>
  </si>
  <si>
    <t>Inlandse eik</t>
  </si>
  <si>
    <t>Winterlinde</t>
  </si>
  <si>
    <t>Lijsterbes</t>
  </si>
  <si>
    <t>intercept</t>
  </si>
  <si>
    <t>Helling</t>
  </si>
  <si>
    <t>a</t>
  </si>
  <si>
    <t>b</t>
  </si>
  <si>
    <t>Kd-ratio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</si>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</sst>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7" formatCode="#,##0.00000"/>
  </numFmts>
  <fonts count="4" x14ac:knownFonts="1">
    <font>
      <sz val="12"/>
      <color theme="1"/>
      <name val="Calibri"/>
      <family val="2"/>
      <charset val="204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4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2" fontId="0" fillId="0" borderId="0" xfId="0" applyNumberFormat="1"/>
    <xf numFmtId="167" fontId="0" fillId="0" borderId="0" xfId="0" applyNumberFormat="1"/>
    <xf numFmtId="1" fontId="0" fillId="0" borderId="0" xfId="0" applyNumberFormat="1"/>
  </cellXfs>
  <cellStyles count="74">
    <cellStyle name="Gevolgde hyperlink" xfId="2" builtinId="9" hidden="1"/>
    <cellStyle name="Gevolgde hyperlink" xfId="4" builtinId="9" hidden="1"/>
    <cellStyle name="Gevolgde hyperlink" xfId="6" builtinId="9" hidden="1"/>
    <cellStyle name="Gevolgde hyperlink" xfId="8" builtinId="9" hidden="1"/>
    <cellStyle name="Gevolgde hyperlink" xfId="10" builtinId="9" hidden="1"/>
    <cellStyle name="Gevolgde hyperlink" xfId="12" builtinId="9" hidden="1"/>
    <cellStyle name="Gevolgde hyperlink" xfId="14" builtinId="9" hidden="1"/>
    <cellStyle name="Gevolgde hyperlink" xfId="15" builtinId="9" hidden="1"/>
    <cellStyle name="Gevolgde hyperlink" xfId="17" builtinId="9" hidden="1"/>
    <cellStyle name="Gevolgde hyperlink" xfId="19" builtinId="9" hidden="1"/>
    <cellStyle name="Gevolgde hyperlink" xfId="21" builtinId="9" hidden="1"/>
    <cellStyle name="Gevolgde hyperlink" xfId="23" builtinId="9" hidden="1"/>
    <cellStyle name="Gevolgde hyperlink" xfId="25" builtinId="9" hidden="1"/>
    <cellStyle name="Gevolgde hyperlink" xfId="27" builtinId="9" hidden="1"/>
    <cellStyle name="Gevolgde hyperlink" xfId="29" builtinId="9" hidden="1"/>
    <cellStyle name="Gevolgde hyperlink" xfId="31" builtinId="9" hidden="1"/>
    <cellStyle name="Gevolgde hyperlink" xfId="33" builtinId="9" hidden="1"/>
    <cellStyle name="Gevolgde hyperlink" xfId="35" builtinId="9" hidden="1"/>
    <cellStyle name="Gevolgde hyperlink" xfId="37" builtinId="9" hidden="1"/>
    <cellStyle name="Gevolgde hyperlink" xfId="39" builtinId="9" hidden="1"/>
    <cellStyle name="Gevolgde hyperlink" xfId="41" builtinId="9" hidden="1"/>
    <cellStyle name="Gevolgde hyperlink" xfId="43" builtinId="9" hidden="1"/>
    <cellStyle name="Gevolgde hyperlink" xfId="45" builtinId="9" hidden="1"/>
    <cellStyle name="Gevolgde hyperlink" xfId="47" builtinId="9" hidden="1"/>
    <cellStyle name="Gevolgde hyperlink" xfId="49" builtinId="9" hidden="1"/>
    <cellStyle name="Gevolgde hyperlink" xfId="51" builtinId="9" hidden="1"/>
    <cellStyle name="Gevolgde hyperlink" xfId="53" builtinId="9" hidden="1"/>
    <cellStyle name="Gevolgde hyperlink" xfId="55" builtinId="9" hidden="1"/>
    <cellStyle name="Gevolgde hyperlink" xfId="57" builtinId="9" hidden="1"/>
    <cellStyle name="Gevolgde hyperlink" xfId="59" builtinId="9" hidden="1"/>
    <cellStyle name="Gevolgde hyperlink" xfId="61" builtinId="9" hidden="1"/>
    <cellStyle name="Gevolgde hyperlink" xfId="63" builtinId="9" hidden="1"/>
    <cellStyle name="Gevolgde hyperlink" xfId="65" builtinId="9" hidden="1"/>
    <cellStyle name="Gevolgde hyperlink" xfId="67" builtinId="9" hidden="1"/>
    <cellStyle name="Gevolgde hyperlink" xfId="69" builtinId="9" hidden="1"/>
    <cellStyle name="Gevolgde hyperlink" xfId="71" builtinId="9" hidden="1"/>
    <cellStyle name="Gevolgde hyperlink" xfId="73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Norma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Relationship Id="rId10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-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workbookViewId="0">
      <selection activeCell="E2" sqref="E2"/>
    </sheetView>
  </sheetViews>
  <sheetFormatPr baseColWidth="10" defaultRowHeight="15" x14ac:dyDescent="0"/>
  <cols>
    <col min="3" max="3" width="13.5" bestFit="1" customWidth="1"/>
    <col min="4" max="4" width="15.6640625" bestFit="1" customWidth="1"/>
  </cols>
  <sheetData>
    <row r="1" spans="1:4">
      <c r="A1" t="s">
        <v>1</v>
      </c>
      <c r="B1" t="s">
        <v>2</v>
      </c>
      <c r="C1" t="s">
        <v>3</v>
      </c>
      <c r="D1" t="s">
        <v>28</v>
      </c>
    </row>
    <row r="2" spans="1:4">
      <c r="A2">
        <v>5</v>
      </c>
      <c r="B2" t="s">
        <v>5</v>
      </c>
      <c r="C2">
        <f>EXP(VLOOKUP(B2,'Hasenauer-Variabelen'!$A$1:$D$12,3,FALSE)+VLOOKUP(B2,'Hasenauer-Variabelen'!$A$1:D11,4,FALSE)*LN(A2))</f>
        <v>2.0409981132414794</v>
      </c>
      <c r="D2" t="s">
        <v>29</v>
      </c>
    </row>
    <row r="3" spans="1:4">
      <c r="A3">
        <v>10</v>
      </c>
      <c r="B3" t="s">
        <v>5</v>
      </c>
      <c r="C3">
        <f>EXP(VLOOKUP(B3,'Hasenauer-Variabelen'!$A$1:$D$12,3,FALSE)+VLOOKUP(B3,'Hasenauer-Variabelen'!$A$1:D12,4,FALSE)*LN(A3))</f>
        <v>3.1895985369705477</v>
      </c>
      <c r="D3" t="s">
        <v>29</v>
      </c>
    </row>
    <row r="4" spans="1:4">
      <c r="A4">
        <v>15</v>
      </c>
      <c r="B4" t="s">
        <v>5</v>
      </c>
      <c r="C4">
        <f>EXP(VLOOKUP(B4,'Hasenauer-Variabelen'!$A$1:$D$12,3,FALSE)+VLOOKUP(B4,'Hasenauer-Variabelen'!$A$1:D13,4,FALSE)*LN(A4))</f>
        <v>4.1414879626390366</v>
      </c>
      <c r="D4" t="s">
        <v>29</v>
      </c>
    </row>
    <row r="5" spans="1:4">
      <c r="A5">
        <v>20</v>
      </c>
      <c r="B5" t="s">
        <v>5</v>
      </c>
      <c r="C5">
        <f>EXP(VLOOKUP(B5,'Hasenauer-Variabelen'!$A$1:$D$12,3,FALSE)+VLOOKUP(B5,'Hasenauer-Variabelen'!$A$1:D14,4,FALSE)*LN(A5))</f>
        <v>4.9845900204617077</v>
      </c>
      <c r="D5" t="s">
        <v>29</v>
      </c>
    </row>
    <row r="6" spans="1:4">
      <c r="A6">
        <v>25</v>
      </c>
      <c r="B6" t="s">
        <v>5</v>
      </c>
      <c r="C6">
        <f>EXP(VLOOKUP(B6,'Hasenauer-Variabelen'!$A$1:$D$12,3,FALSE)+VLOOKUP(B6,'Hasenauer-Variabelen'!$A$1:D15,4,FALSE)*LN(A6))</f>
        <v>5.7550510851964818</v>
      </c>
      <c r="D6" t="s">
        <v>29</v>
      </c>
    </row>
    <row r="7" spans="1:4">
      <c r="A7">
        <v>30</v>
      </c>
      <c r="B7" t="s">
        <v>5</v>
      </c>
      <c r="C7">
        <f>EXP(VLOOKUP(B7,'Hasenauer-Variabelen'!$A$1:$D$12,3,FALSE)+VLOOKUP(B7,'Hasenauer-Variabelen'!$A$1:D16,4,FALSE)*LN(A7))</f>
        <v>6.4721686222116119</v>
      </c>
      <c r="D7" t="s">
        <v>29</v>
      </c>
    </row>
    <row r="8" spans="1:4">
      <c r="A8">
        <v>35</v>
      </c>
      <c r="B8" t="s">
        <v>5</v>
      </c>
      <c r="C8">
        <f>EXP(VLOOKUP(B8,'Hasenauer-Variabelen'!$A$1:$D$12,3,FALSE)+VLOOKUP(B8,'Hasenauer-Variabelen'!$A$1:D17,4,FALSE)*LN(A8))</f>
        <v>7.1477647568161062</v>
      </c>
      <c r="D8" t="s">
        <v>29</v>
      </c>
    </row>
    <row r="9" spans="1:4">
      <c r="A9">
        <v>40</v>
      </c>
      <c r="B9" t="s">
        <v>5</v>
      </c>
      <c r="C9">
        <f>EXP(VLOOKUP(B9,'Hasenauer-Variabelen'!$A$1:$D$12,3,FALSE)+VLOOKUP(B9,'Hasenauer-Variabelen'!$A$1:D18,4,FALSE)*LN(A9))</f>
        <v>7.7897382332276512</v>
      </c>
      <c r="D9" t="s">
        <v>29</v>
      </c>
    </row>
    <row r="10" spans="1:4">
      <c r="A10">
        <v>45</v>
      </c>
      <c r="B10" t="s">
        <v>5</v>
      </c>
      <c r="C10">
        <f>EXP(VLOOKUP(B10,'Hasenauer-Variabelen'!$A$1:$D$12,3,FALSE)+VLOOKUP(B10,'Hasenauer-Variabelen'!$A$1:D19,4,FALSE)*LN(A10))</f>
        <v>8.403693483794374</v>
      </c>
      <c r="D10" t="s">
        <v>29</v>
      </c>
    </row>
    <row r="11" spans="1:4">
      <c r="A11">
        <v>50</v>
      </c>
      <c r="B11" t="s">
        <v>5</v>
      </c>
      <c r="C11">
        <f>EXP(VLOOKUP(B11,'Hasenauer-Variabelen'!$A$1:$D$12,3,FALSE)+VLOOKUP(B11,'Hasenauer-Variabelen'!$A$1:D20,4,FALSE)*LN(A11))</f>
        <v>8.9937871095727218</v>
      </c>
      <c r="D11" t="s">
        <v>29</v>
      </c>
    </row>
    <row r="12" spans="1:4">
      <c r="A12">
        <v>55</v>
      </c>
      <c r="B12" t="s">
        <v>5</v>
      </c>
      <c r="C12">
        <f>EXP(VLOOKUP(B12,'Hasenauer-Variabelen'!$A$1:$D$12,3,FALSE)+VLOOKUP(B12,'Hasenauer-Variabelen'!$A$1:D21,4,FALSE)*LN(A12))</f>
        <v>9.563208659676441</v>
      </c>
      <c r="D12" t="s">
        <v>29</v>
      </c>
    </row>
    <row r="13" spans="1:4">
      <c r="A13">
        <v>60</v>
      </c>
      <c r="B13" t="s">
        <v>5</v>
      </c>
      <c r="C13">
        <f>EXP(VLOOKUP(B13,'Hasenauer-Variabelen'!$A$1:$D$12,3,FALSE)+VLOOKUP(B13,'Hasenauer-Variabelen'!$A$1:D22,4,FALSE)*LN(A13))</f>
        <v>10.1144726369428</v>
      </c>
      <c r="D13" t="s">
        <v>29</v>
      </c>
    </row>
    <row r="14" spans="1:4">
      <c r="A14">
        <v>65</v>
      </c>
      <c r="B14" t="s">
        <v>5</v>
      </c>
      <c r="C14">
        <f>EXP(VLOOKUP(B14,'Hasenauer-Variabelen'!$A$1:$D$12,3,FALSE)+VLOOKUP(B14,'Hasenauer-Variabelen'!$A$1:D23,4,FALSE)*LN(A14))</f>
        <v>10.64960540760347</v>
      </c>
      <c r="D14" t="s">
        <v>29</v>
      </c>
    </row>
    <row r="15" spans="1:4">
      <c r="A15">
        <v>70</v>
      </c>
      <c r="B15" t="s">
        <v>5</v>
      </c>
      <c r="C15">
        <f>EXP(VLOOKUP(B15,'Hasenauer-Variabelen'!$A$1:$D$12,3,FALSE)+VLOOKUP(B15,'Hasenauer-Variabelen'!$A$1:D24,4,FALSE)*LN(A15))</f>
        <v>11.170270008109952</v>
      </c>
      <c r="D15" t="s">
        <v>29</v>
      </c>
    </row>
    <row r="16" spans="1:4">
      <c r="A16">
        <v>75</v>
      </c>
      <c r="B16" t="s">
        <v>5</v>
      </c>
      <c r="C16">
        <f>EXP(VLOOKUP(B16,'Hasenauer-Variabelen'!$A$1:$D$12,3,FALSE)+VLOOKUP(B16,'Hasenauer-Variabelen'!$A$1:D25,4,FALSE)*LN(A16))</f>
        <v>11.677852438511287</v>
      </c>
      <c r="D16" t="s">
        <v>29</v>
      </c>
    </row>
    <row r="17" spans="1:4">
      <c r="A17">
        <v>80</v>
      </c>
      <c r="B17" t="s">
        <v>5</v>
      </c>
      <c r="C17">
        <f>EXP(VLOOKUP(B17,'Hasenauer-Variabelen'!$A$1:$D$12,3,FALSE)+VLOOKUP(B17,'Hasenauer-Variabelen'!$A$1:D26,4,FALSE)*LN(A17))</f>
        <v>12.173523096807877</v>
      </c>
      <c r="D17" t="s">
        <v>29</v>
      </c>
    </row>
    <row r="18" spans="1:4">
      <c r="A18">
        <v>85</v>
      </c>
      <c r="B18" t="s">
        <v>5</v>
      </c>
      <c r="C18">
        <f>EXP(VLOOKUP(B18,'Hasenauer-Variabelen'!$A$1:$D$12,3,FALSE)+VLOOKUP(B18,'Hasenauer-Variabelen'!$A$1:D27,4,FALSE)*LN(A18))</f>
        <v>12.658281617712904</v>
      </c>
      <c r="D18" t="s">
        <v>29</v>
      </c>
    </row>
    <row r="19" spans="1:4">
      <c r="A19">
        <v>90</v>
      </c>
      <c r="B19" t="s">
        <v>5</v>
      </c>
      <c r="C19">
        <f>EXP(VLOOKUP(B19,'Hasenauer-Variabelen'!$A$1:$D$12,3,FALSE)+VLOOKUP(B19,'Hasenauer-Variabelen'!$A$1:D28,4,FALSE)*LN(A19))</f>
        <v>13.132990308594232</v>
      </c>
      <c r="D19" t="s">
        <v>29</v>
      </c>
    </row>
    <row r="20" spans="1:4">
      <c r="A20">
        <v>95</v>
      </c>
      <c r="B20" t="s">
        <v>5</v>
      </c>
      <c r="C20">
        <f>EXP(VLOOKUP(B20,'Hasenauer-Variabelen'!$A$1:$D$12,3,FALSE)+VLOOKUP(B20,'Hasenauer-Variabelen'!$A$1:D29,4,FALSE)*LN(A20))</f>
        <v>13.598399552853115</v>
      </c>
      <c r="D20" t="s">
        <v>29</v>
      </c>
    </row>
    <row r="21" spans="1:4">
      <c r="A21">
        <v>100</v>
      </c>
      <c r="B21" t="s">
        <v>5</v>
      </c>
      <c r="C21">
        <f>EXP(VLOOKUP(B21,'Hasenauer-Variabelen'!$A$1:$D$12,3,FALSE)+VLOOKUP(B21,'Hasenauer-Variabelen'!$A$1:D30,4,FALSE)*LN(A21))</f>
        <v>14.055167430291339</v>
      </c>
      <c r="D21" t="s">
        <v>29</v>
      </c>
    </row>
    <row r="22" spans="1:4">
      <c r="A22">
        <v>5</v>
      </c>
      <c r="B22" t="s">
        <v>6</v>
      </c>
      <c r="C22">
        <f>EXP(VLOOKUP(B22,'Hasenauer-Variabelen'!$A$1:$D$12,3,FALSE)+VLOOKUP(B22,'Hasenauer-Variabelen'!$A$1:D35,4,FALSE)*LN(A22))</f>
        <v>2.6061592788624104</v>
      </c>
      <c r="D22" t="s">
        <v>29</v>
      </c>
    </row>
    <row r="23" spans="1:4">
      <c r="A23">
        <v>10</v>
      </c>
      <c r="B23" t="s">
        <v>6</v>
      </c>
      <c r="C23">
        <f>EXP(VLOOKUP(B23,'Hasenauer-Variabelen'!$A$1:$D$12,3,FALSE)+VLOOKUP(B23,'Hasenauer-Variabelen'!$A$1:D36,4,FALSE)*LN(A23))</f>
        <v>3.7840345436926399</v>
      </c>
      <c r="D23" t="s">
        <v>29</v>
      </c>
    </row>
    <row r="24" spans="1:4">
      <c r="A24">
        <v>15</v>
      </c>
      <c r="B24" t="s">
        <v>6</v>
      </c>
      <c r="C24">
        <f>EXP(VLOOKUP(B24,'Hasenauer-Variabelen'!$A$1:$D$12,3,FALSE)+VLOOKUP(B24,'Hasenauer-Variabelen'!$A$1:D37,4,FALSE)*LN(A24))</f>
        <v>4.7064363506085147</v>
      </c>
      <c r="D24" t="s">
        <v>29</v>
      </c>
    </row>
    <row r="25" spans="1:4">
      <c r="A25">
        <v>20</v>
      </c>
      <c r="B25" t="s">
        <v>6</v>
      </c>
      <c r="C25">
        <f>EXP(VLOOKUP(B25,'Hasenauer-Variabelen'!$A$1:$D$12,3,FALSE)+VLOOKUP(B25,'Hasenauer-Variabelen'!$A$1:D38,4,FALSE)*LN(A25))</f>
        <v>5.494260287156882</v>
      </c>
      <c r="D25" t="s">
        <v>29</v>
      </c>
    </row>
    <row r="26" spans="1:4">
      <c r="A26">
        <v>25</v>
      </c>
      <c r="B26" t="s">
        <v>6</v>
      </c>
      <c r="C26">
        <f>EXP(VLOOKUP(B26,'Hasenauer-Variabelen'!$A$1:$D$12,3,FALSE)+VLOOKUP(B26,'Hasenauer-Variabelen'!$A$1:D39,4,FALSE)*LN(A26))</f>
        <v>6.195078545031949</v>
      </c>
      <c r="D26" t="s">
        <v>29</v>
      </c>
    </row>
    <row r="27" spans="1:4">
      <c r="A27">
        <v>30</v>
      </c>
      <c r="B27" t="s">
        <v>6</v>
      </c>
      <c r="C27">
        <f>EXP(VLOOKUP(B27,'Hasenauer-Variabelen'!$A$1:$D$12,3,FALSE)+VLOOKUP(B27,'Hasenauer-Variabelen'!$A$1:D40,4,FALSE)*LN(A27))</f>
        <v>6.8335492281067012</v>
      </c>
      <c r="D27" t="s">
        <v>29</v>
      </c>
    </row>
    <row r="28" spans="1:4">
      <c r="A28">
        <v>35</v>
      </c>
      <c r="B28" t="s">
        <v>6</v>
      </c>
      <c r="C28">
        <f>EXP(VLOOKUP(B28,'Hasenauer-Variabelen'!$A$1:$D$12,3,FALSE)+VLOOKUP(B28,'Hasenauer-Variabelen'!$A$1:D41,4,FALSE)*LN(A28))</f>
        <v>7.4244399711357021</v>
      </c>
      <c r="D28" t="s">
        <v>29</v>
      </c>
    </row>
    <row r="29" spans="1:4">
      <c r="A29">
        <v>40</v>
      </c>
      <c r="B29" t="s">
        <v>6</v>
      </c>
      <c r="C29">
        <f>EXP(VLOOKUP(B29,'Hasenauer-Variabelen'!$A$1:$D$12,3,FALSE)+VLOOKUP(B29,'Hasenauer-Variabelen'!$A$1:D42,4,FALSE)*LN(A29))</f>
        <v>7.9774367158845827</v>
      </c>
      <c r="D29" t="s">
        <v>29</v>
      </c>
    </row>
    <row r="30" spans="1:4">
      <c r="A30">
        <v>45</v>
      </c>
      <c r="B30" t="s">
        <v>6</v>
      </c>
      <c r="C30">
        <f>EXP(VLOOKUP(B30,'Hasenauer-Variabelen'!$A$1:$D$12,3,FALSE)+VLOOKUP(B30,'Hasenauer-Variabelen'!$A$1:D43,4,FALSE)*LN(A30))</f>
        <v>8.4993052043994464</v>
      </c>
      <c r="D30" t="s">
        <v>29</v>
      </c>
    </row>
    <row r="31" spans="1:4">
      <c r="A31">
        <v>50</v>
      </c>
      <c r="B31" t="s">
        <v>6</v>
      </c>
      <c r="C31">
        <f>EXP(VLOOKUP(B31,'Hasenauer-Variabelen'!$A$1:$D$12,3,FALSE)+VLOOKUP(B31,'Hasenauer-Variabelen'!$A$1:D44,4,FALSE)*LN(A31))</f>
        <v>8.9949955881141097</v>
      </c>
      <c r="D31" t="s">
        <v>29</v>
      </c>
    </row>
    <row r="32" spans="1:4">
      <c r="A32">
        <v>55</v>
      </c>
      <c r="B32" t="s">
        <v>6</v>
      </c>
      <c r="C32">
        <f>EXP(VLOOKUP(B32,'Hasenauer-Variabelen'!$A$1:$D$12,3,FALSE)+VLOOKUP(B32,'Hasenauer-Variabelen'!$A$1:D45,4,FALSE)*LN(A32))</f>
        <v>9.4682609606438337</v>
      </c>
      <c r="D32" t="s">
        <v>29</v>
      </c>
    </row>
    <row r="33" spans="1:4">
      <c r="A33">
        <v>60</v>
      </c>
      <c r="B33" t="s">
        <v>6</v>
      </c>
      <c r="C33">
        <f>EXP(VLOOKUP(B33,'Hasenauer-Variabelen'!$A$1:$D$12,3,FALSE)+VLOOKUP(B33,'Hasenauer-Variabelen'!$A$1:D46,4,FALSE)*LN(A33))</f>
        <v>9.9220283828803897</v>
      </c>
      <c r="D33" t="s">
        <v>29</v>
      </c>
    </row>
    <row r="34" spans="1:4">
      <c r="A34">
        <v>65</v>
      </c>
      <c r="B34" t="s">
        <v>6</v>
      </c>
      <c r="C34">
        <f>EXP(VLOOKUP(B34,'Hasenauer-Variabelen'!$A$1:$D$12,3,FALSE)+VLOOKUP(B34,'Hasenauer-Variabelen'!$A$1:D47,4,FALSE)*LN(A34))</f>
        <v>10.358633754995285</v>
      </c>
      <c r="D34" t="s">
        <v>29</v>
      </c>
    </row>
    <row r="35" spans="1:4">
      <c r="A35">
        <v>70</v>
      </c>
      <c r="B35" t="s">
        <v>6</v>
      </c>
      <c r="C35">
        <f>EXP(VLOOKUP(B35,'Hasenauer-Variabelen'!$A$1:$D$12,3,FALSE)+VLOOKUP(B35,'Hasenauer-Variabelen'!$A$1:D48,4,FALSE)*LN(A35))</f>
        <v>10.779977089739919</v>
      </c>
      <c r="D35" t="s">
        <v>29</v>
      </c>
    </row>
    <row r="36" spans="1:4">
      <c r="A36">
        <v>75</v>
      </c>
      <c r="B36" t="s">
        <v>6</v>
      </c>
      <c r="C36">
        <f>EXP(VLOOKUP(B36,'Hasenauer-Variabelen'!$A$1:$D$12,3,FALSE)+VLOOKUP(B36,'Hasenauer-Variabelen'!$A$1:D49,4,FALSE)*LN(A36))</f>
        <v>11.187628897317509</v>
      </c>
      <c r="D36" t="s">
        <v>29</v>
      </c>
    </row>
    <row r="37" spans="1:4">
      <c r="A37">
        <v>80</v>
      </c>
      <c r="B37" t="s">
        <v>6</v>
      </c>
      <c r="C37">
        <f>EXP(VLOOKUP(B37,'Hasenauer-Variabelen'!$A$1:$D$12,3,FALSE)+VLOOKUP(B37,'Hasenauer-Variabelen'!$A$1:D50,4,FALSE)*LN(A37))</f>
        <v>11.582905292037951</v>
      </c>
      <c r="D37" t="s">
        <v>29</v>
      </c>
    </row>
    <row r="38" spans="1:4">
      <c r="A38">
        <v>85</v>
      </c>
      <c r="B38" t="s">
        <v>6</v>
      </c>
      <c r="C38">
        <f>EXP(VLOOKUP(B38,'Hasenauer-Variabelen'!$A$1:$D$12,3,FALSE)+VLOOKUP(B38,'Hasenauer-Variabelen'!$A$1:D51,4,FALSE)*LN(A38))</f>
        <v>11.966922387081407</v>
      </c>
      <c r="D38" t="s">
        <v>29</v>
      </c>
    </row>
    <row r="39" spans="1:4">
      <c r="A39">
        <v>90</v>
      </c>
      <c r="B39" t="s">
        <v>6</v>
      </c>
      <c r="C39">
        <f>EXP(VLOOKUP(B39,'Hasenauer-Variabelen'!$A$1:$D$12,3,FALSE)+VLOOKUP(B39,'Hasenauer-Variabelen'!$A$1:D52,4,FALSE)*LN(A39))</f>
        <v>12.340636564958039</v>
      </c>
      <c r="D39" t="s">
        <v>29</v>
      </c>
    </row>
    <row r="40" spans="1:4">
      <c r="A40">
        <v>95</v>
      </c>
      <c r="B40" t="s">
        <v>6</v>
      </c>
      <c r="C40">
        <f>EXP(VLOOKUP(B40,'Hasenauer-Variabelen'!$A$1:$D$12,3,FALSE)+VLOOKUP(B40,'Hasenauer-Variabelen'!$A$1:D53,4,FALSE)*LN(A40))</f>
        <v>12.704874867914603</v>
      </c>
      <c r="D40" t="s">
        <v>29</v>
      </c>
    </row>
    <row r="41" spans="1:4">
      <c r="A41">
        <v>100</v>
      </c>
      <c r="B41" t="s">
        <v>6</v>
      </c>
      <c r="C41">
        <f>EXP(VLOOKUP(B41,'Hasenauer-Variabelen'!$A$1:$D$12,3,FALSE)+VLOOKUP(B41,'Hasenauer-Variabelen'!$A$1:D54,4,FALSE)*LN(A41))</f>
        <v>13.060358321861283</v>
      </c>
      <c r="D41" t="s">
        <v>29</v>
      </c>
    </row>
    <row r="42" spans="1:4">
      <c r="A42">
        <v>5</v>
      </c>
      <c r="B42" t="s">
        <v>7</v>
      </c>
      <c r="C42">
        <f>EXP(VLOOKUP(B42,'Hasenauer-Variabelen'!$A$1:$D$12,3,FALSE)+VLOOKUP(B42,'Hasenauer-Variabelen'!$A$1:D55,4,FALSE)*LN(A42))</f>
        <v>2.135112818458472</v>
      </c>
      <c r="D42" t="s">
        <v>29</v>
      </c>
    </row>
    <row r="43" spans="1:4">
      <c r="A43">
        <v>10</v>
      </c>
      <c r="B43" t="s">
        <v>7</v>
      </c>
      <c r="C43">
        <f>EXP(VLOOKUP(B43,'Hasenauer-Variabelen'!$A$1:$D$12,3,FALSE)+VLOOKUP(B43,'Hasenauer-Variabelen'!$A$1:D56,4,FALSE)*LN(A43))</f>
        <v>3.4262069676494336</v>
      </c>
      <c r="D43" t="s">
        <v>29</v>
      </c>
    </row>
    <row r="44" spans="1:4">
      <c r="A44">
        <v>15</v>
      </c>
      <c r="B44" t="s">
        <v>7</v>
      </c>
      <c r="C44">
        <f>EXP(VLOOKUP(B44,'Hasenauer-Variabelen'!$A$1:$D$12,3,FALSE)+VLOOKUP(B44,'Hasenauer-Variabelen'!$A$1:D57,4,FALSE)*LN(A44))</f>
        <v>4.5181501544581257</v>
      </c>
      <c r="D44" t="s">
        <v>29</v>
      </c>
    </row>
    <row r="45" spans="1:4">
      <c r="A45">
        <v>20</v>
      </c>
      <c r="B45" t="s">
        <v>7</v>
      </c>
      <c r="C45">
        <f>EXP(VLOOKUP(B45,'Hasenauer-Variabelen'!$A$1:$D$12,3,FALSE)+VLOOKUP(B45,'Hasenauer-Variabelen'!$A$1:D58,4,FALSE)*LN(A45))</f>
        <v>5.4980205653230447</v>
      </c>
      <c r="D45" t="s">
        <v>29</v>
      </c>
    </row>
    <row r="46" spans="1:4">
      <c r="A46">
        <v>25</v>
      </c>
      <c r="B46" t="s">
        <v>7</v>
      </c>
      <c r="C46">
        <f>EXP(VLOOKUP(B46,'Hasenauer-Variabelen'!$A$1:$D$12,3,FALSE)+VLOOKUP(B46,'Hasenauer-Variabelen'!$A$1:D59,4,FALSE)*LN(A46))</f>
        <v>6.4021826757370945</v>
      </c>
      <c r="D46" t="s">
        <v>29</v>
      </c>
    </row>
    <row r="47" spans="1:4">
      <c r="A47">
        <v>30</v>
      </c>
      <c r="B47" t="s">
        <v>7</v>
      </c>
      <c r="C47">
        <f>EXP(VLOOKUP(B47,'Hasenauer-Variabelen'!$A$1:$D$12,3,FALSE)+VLOOKUP(B47,'Hasenauer-Variabelen'!$A$1:D60,4,FALSE)*LN(A47))</f>
        <v>7.2502574132205693</v>
      </c>
      <c r="D47" t="s">
        <v>29</v>
      </c>
    </row>
    <row r="48" spans="1:4">
      <c r="A48">
        <v>35</v>
      </c>
      <c r="B48" t="s">
        <v>7</v>
      </c>
      <c r="C48">
        <f>EXP(VLOOKUP(B48,'Hasenauer-Variabelen'!$A$1:$D$12,3,FALSE)+VLOOKUP(B48,'Hasenauer-Variabelen'!$A$1:D61,4,FALSE)*LN(A48))</f>
        <v>8.0543634040739871</v>
      </c>
      <c r="D48" t="s">
        <v>29</v>
      </c>
    </row>
    <row r="49" spans="1:4">
      <c r="A49">
        <v>40</v>
      </c>
      <c r="B49" t="s">
        <v>7</v>
      </c>
      <c r="C49">
        <f>EXP(VLOOKUP(B49,'Hasenauer-Variabelen'!$A$1:$D$12,3,FALSE)+VLOOKUP(B49,'Hasenauer-Variabelen'!$A$1:D62,4,FALSE)*LN(A49))</f>
        <v>8.8226515275150916</v>
      </c>
      <c r="D49" t="s">
        <v>29</v>
      </c>
    </row>
    <row r="50" spans="1:4">
      <c r="A50">
        <v>45</v>
      </c>
      <c r="B50" t="s">
        <v>7</v>
      </c>
      <c r="C50">
        <f>EXP(VLOOKUP(B50,'Hasenauer-Variabelen'!$A$1:$D$12,3,FALSE)+VLOOKUP(B50,'Hasenauer-Variabelen'!$A$1:D63,4,FALSE)*LN(A50))</f>
        <v>9.5609377835914273</v>
      </c>
      <c r="D50" t="s">
        <v>29</v>
      </c>
    </row>
    <row r="51" spans="1:4">
      <c r="A51">
        <v>50</v>
      </c>
      <c r="B51" t="s">
        <v>7</v>
      </c>
      <c r="C51">
        <f>EXP(VLOOKUP(B51,'Hasenauer-Variabelen'!$A$1:$D$12,3,FALSE)+VLOOKUP(B51,'Hasenauer-Variabelen'!$A$1:D64,4,FALSE)*LN(A51))</f>
        <v>10.273556836032629</v>
      </c>
      <c r="D51" t="s">
        <v>29</v>
      </c>
    </row>
    <row r="52" spans="1:4">
      <c r="A52">
        <v>55</v>
      </c>
      <c r="B52" t="s">
        <v>7</v>
      </c>
      <c r="C52">
        <f>EXP(VLOOKUP(B52,'Hasenauer-Variabelen'!$A$1:$D$12,3,FALSE)+VLOOKUP(B52,'Hasenauer-Variabelen'!$A$1:D65,4,FALSE)*LN(A52))</f>
        <v>10.963849288176823</v>
      </c>
      <c r="D52" t="s">
        <v>29</v>
      </c>
    </row>
    <row r="53" spans="1:4">
      <c r="A53">
        <v>60</v>
      </c>
      <c r="B53" t="s">
        <v>7</v>
      </c>
      <c r="C53">
        <f>EXP(VLOOKUP(B53,'Hasenauer-Variabelen'!$A$1:$D$12,3,FALSE)+VLOOKUP(B53,'Hasenauer-Variabelen'!$A$1:D66,4,FALSE)*LN(A53))</f>
        <v>11.634458962390154</v>
      </c>
      <c r="D53" t="s">
        <v>29</v>
      </c>
    </row>
    <row r="54" spans="1:4">
      <c r="A54">
        <v>65</v>
      </c>
      <c r="B54" t="s">
        <v>7</v>
      </c>
      <c r="C54">
        <f>EXP(VLOOKUP(B54,'Hasenauer-Variabelen'!$A$1:$D$12,3,FALSE)+VLOOKUP(B54,'Hasenauer-Variabelen'!$A$1:D67,4,FALSE)*LN(A54))</f>
        <v>12.287523945614675</v>
      </c>
      <c r="D54" t="s">
        <v>29</v>
      </c>
    </row>
    <row r="55" spans="1:4">
      <c r="A55">
        <v>70</v>
      </c>
      <c r="B55" t="s">
        <v>7</v>
      </c>
      <c r="C55">
        <f>EXP(VLOOKUP(B55,'Hasenauer-Variabelen'!$A$1:$D$12,3,FALSE)+VLOOKUP(B55,'Hasenauer-Variabelen'!$A$1:D68,4,FALSE)*LN(A55))</f>
        <v>12.924804617557804</v>
      </c>
      <c r="D55" t="s">
        <v>29</v>
      </c>
    </row>
    <row r="56" spans="1:4">
      <c r="A56">
        <v>75</v>
      </c>
      <c r="B56" t="s">
        <v>7</v>
      </c>
      <c r="C56">
        <f>EXP(VLOOKUP(B56,'Hasenauer-Variabelen'!$A$1:$D$12,3,FALSE)+VLOOKUP(B56,'Hasenauer-Variabelen'!$A$1:D69,4,FALSE)*LN(A56))</f>
        <v>13.5477724620355</v>
      </c>
      <c r="D56" t="s">
        <v>29</v>
      </c>
    </row>
    <row r="57" spans="1:4">
      <c r="A57">
        <v>80</v>
      </c>
      <c r="B57" t="s">
        <v>7</v>
      </c>
      <c r="C57">
        <f>EXP(VLOOKUP(B57,'Hasenauer-Variabelen'!$A$1:$D$12,3,FALSE)+VLOOKUP(B57,'Hasenauer-Variabelen'!$A$1:D70,4,FALSE)*LN(A57))</f>
        <v>14.157673484691818</v>
      </c>
      <c r="D57" t="s">
        <v>29</v>
      </c>
    </row>
    <row r="58" spans="1:4">
      <c r="A58">
        <v>85</v>
      </c>
      <c r="B58" t="s">
        <v>7</v>
      </c>
      <c r="C58">
        <f>EXP(VLOOKUP(B58,'Hasenauer-Variabelen'!$A$1:$D$12,3,FALSE)+VLOOKUP(B58,'Hasenauer-Variabelen'!$A$1:D71,4,FALSE)*LN(A58))</f>
        <v>14.755574628558108</v>
      </c>
      <c r="D58" t="s">
        <v>29</v>
      </c>
    </row>
    <row r="59" spans="1:4">
      <c r="A59">
        <v>90</v>
      </c>
      <c r="B59" t="s">
        <v>7</v>
      </c>
      <c r="C59">
        <f>EXP(VLOOKUP(B59,'Hasenauer-Variabelen'!$A$1:$D$12,3,FALSE)+VLOOKUP(B59,'Hasenauer-Variabelen'!$A$1:D72,4,FALSE)*LN(A59))</f>
        <v>15.342398475718221</v>
      </c>
      <c r="D59" t="s">
        <v>29</v>
      </c>
    </row>
    <row r="60" spans="1:4">
      <c r="A60">
        <v>95</v>
      </c>
      <c r="B60" t="s">
        <v>7</v>
      </c>
      <c r="C60">
        <f>EXP(VLOOKUP(B60,'Hasenauer-Variabelen'!$A$1:$D$12,3,FALSE)+VLOOKUP(B60,'Hasenauer-Variabelen'!$A$1:D73,4,FALSE)*LN(A60))</f>
        <v>15.918949676396299</v>
      </c>
      <c r="D60" t="s">
        <v>29</v>
      </c>
    </row>
    <row r="61" spans="1:4">
      <c r="A61">
        <v>100</v>
      </c>
      <c r="B61" t="s">
        <v>7</v>
      </c>
      <c r="C61">
        <f>EXP(VLOOKUP(B61,'Hasenauer-Variabelen'!$A$1:$D$12,3,FALSE)+VLOOKUP(B61,'Hasenauer-Variabelen'!$A$1:D74,4,FALSE)*LN(A61))</f>
        <v>16.485935408120966</v>
      </c>
      <c r="D61" t="s">
        <v>29</v>
      </c>
    </row>
    <row r="62" spans="1:4">
      <c r="A62">
        <v>5</v>
      </c>
      <c r="B62" t="s">
        <v>4</v>
      </c>
      <c r="C62">
        <f>EXP(VLOOKUP(B62,'Hasenauer-Variabelen'!$A$1:$D$12,3,FALSE)+VLOOKUP(B62,'Hasenauer-Variabelen'!$A$1:D75,4,FALSE)*LN(A62))</f>
        <v>2.2908770596500019</v>
      </c>
      <c r="D62" t="s">
        <v>29</v>
      </c>
    </row>
    <row r="63" spans="1:4">
      <c r="A63">
        <v>10</v>
      </c>
      <c r="B63" t="s">
        <v>4</v>
      </c>
      <c r="C63">
        <f>EXP(VLOOKUP(B63,'Hasenauer-Variabelen'!$A$1:$D$12,3,FALSE)+VLOOKUP(B63,'Hasenauer-Variabelen'!$A$1:D76,4,FALSE)*LN(A63))</f>
        <v>3.5371809842758823</v>
      </c>
      <c r="D63" t="s">
        <v>29</v>
      </c>
    </row>
    <row r="64" spans="1:4">
      <c r="A64">
        <v>15</v>
      </c>
      <c r="B64" t="s">
        <v>4</v>
      </c>
      <c r="C64">
        <f>EXP(VLOOKUP(B64,'Hasenauer-Variabelen'!$A$1:$D$12,3,FALSE)+VLOOKUP(B64,'Hasenauer-Variabelen'!$A$1:D77,4,FALSE)*LN(A64))</f>
        <v>4.560512743845619</v>
      </c>
      <c r="D64" t="s">
        <v>29</v>
      </c>
    </row>
    <row r="65" spans="1:4">
      <c r="A65">
        <v>20</v>
      </c>
      <c r="B65" t="s">
        <v>4</v>
      </c>
      <c r="C65">
        <f>EXP(VLOOKUP(B65,'Hasenauer-Variabelen'!$A$1:$D$12,3,FALSE)+VLOOKUP(B65,'Hasenauer-Variabelen'!$A$1:D78,4,FALSE)*LN(A65))</f>
        <v>5.4615105873182115</v>
      </c>
      <c r="D65" t="s">
        <v>29</v>
      </c>
    </row>
    <row r="66" spans="1:4">
      <c r="A66">
        <v>25</v>
      </c>
      <c r="B66" t="s">
        <v>4</v>
      </c>
      <c r="C66">
        <f>EXP(VLOOKUP(B66,'Hasenauer-Variabelen'!$A$1:$D$12,3,FALSE)+VLOOKUP(B66,'Hasenauer-Variabelen'!$A$1:D79,4,FALSE)*LN(A66))</f>
        <v>6.2812529784787055</v>
      </c>
      <c r="D66" t="s">
        <v>29</v>
      </c>
    </row>
    <row r="67" spans="1:4">
      <c r="A67">
        <v>30</v>
      </c>
      <c r="B67" t="s">
        <v>4</v>
      </c>
      <c r="C67">
        <f>EXP(VLOOKUP(B67,'Hasenauer-Variabelen'!$A$1:$D$12,3,FALSE)+VLOOKUP(B67,'Hasenauer-Variabelen'!$A$1:D80,4,FALSE)*LN(A67))</f>
        <v>7.0415646654312747</v>
      </c>
      <c r="D67" t="s">
        <v>29</v>
      </c>
    </row>
    <row r="68" spans="1:4">
      <c r="A68">
        <v>35</v>
      </c>
      <c r="B68" t="s">
        <v>4</v>
      </c>
      <c r="C68">
        <f>EXP(VLOOKUP(B68,'Hasenauer-Variabelen'!$A$1:$D$12,3,FALSE)+VLOOKUP(B68,'Hasenauer-Variabelen'!$A$1:D81,4,FALSE)*LN(A68))</f>
        <v>7.7557664917230218</v>
      </c>
      <c r="D68" t="s">
        <v>29</v>
      </c>
    </row>
    <row r="69" spans="1:4">
      <c r="A69">
        <v>40</v>
      </c>
      <c r="B69" t="s">
        <v>4</v>
      </c>
      <c r="C69">
        <f>EXP(VLOOKUP(B69,'Hasenauer-Variabelen'!$A$1:$D$12,3,FALSE)+VLOOKUP(B69,'Hasenauer-Variabelen'!$A$1:D82,4,FALSE)*LN(A69))</f>
        <v>8.4327316097158089</v>
      </c>
      <c r="D69" t="s">
        <v>29</v>
      </c>
    </row>
    <row r="70" spans="1:4">
      <c r="A70">
        <v>45</v>
      </c>
      <c r="B70" t="s">
        <v>4</v>
      </c>
      <c r="C70">
        <f>EXP(VLOOKUP(B70,'Hasenauer-Variabelen'!$A$1:$D$12,3,FALSE)+VLOOKUP(B70,'Hasenauer-Variabelen'!$A$1:D83,4,FALSE)*LN(A70))</f>
        <v>9.0787396901847845</v>
      </c>
      <c r="D70" t="s">
        <v>29</v>
      </c>
    </row>
    <row r="71" spans="1:4">
      <c r="A71">
        <v>50</v>
      </c>
      <c r="B71" t="s">
        <v>4</v>
      </c>
      <c r="C71">
        <f>EXP(VLOOKUP(B71,'Hasenauer-Variabelen'!$A$1:$D$12,3,FALSE)+VLOOKUP(B71,'Hasenauer-Variabelen'!$A$1:D84,4,FALSE)*LN(A71))</f>
        <v>9.6984377661434014</v>
      </c>
      <c r="D71" t="s">
        <v>29</v>
      </c>
    </row>
    <row r="72" spans="1:4">
      <c r="A72">
        <v>55</v>
      </c>
      <c r="B72" t="s">
        <v>4</v>
      </c>
      <c r="C72">
        <f>EXP(VLOOKUP(B72,'Hasenauer-Variabelen'!$A$1:$D$12,3,FALSE)+VLOOKUP(B72,'Hasenauer-Variabelen'!$A$1:D85,4,FALSE)*LN(A72))</f>
        <v>10.295384697419868</v>
      </c>
      <c r="D72" t="s">
        <v>29</v>
      </c>
    </row>
    <row r="73" spans="1:4">
      <c r="A73">
        <v>60</v>
      </c>
      <c r="B73" t="s">
        <v>4</v>
      </c>
      <c r="C73">
        <f>EXP(VLOOKUP(B73,'Hasenauer-Variabelen'!$A$1:$D$12,3,FALSE)+VLOOKUP(B73,'Hasenauer-Variabelen'!$A$1:D86,4,FALSE)*LN(A73))</f>
        <v>10.872381182217511</v>
      </c>
      <c r="D73" t="s">
        <v>29</v>
      </c>
    </row>
    <row r="74" spans="1:4">
      <c r="A74">
        <v>65</v>
      </c>
      <c r="B74" t="s">
        <v>4</v>
      </c>
      <c r="C74">
        <f>EXP(VLOOKUP(B74,'Hasenauer-Variabelen'!$A$1:$D$12,3,FALSE)+VLOOKUP(B74,'Hasenauer-Variabelen'!$A$1:D87,4,FALSE)*LN(A74))</f>
        <v>11.431680610569712</v>
      </c>
      <c r="D74" t="s">
        <v>29</v>
      </c>
    </row>
    <row r="75" spans="1:4">
      <c r="A75">
        <v>70</v>
      </c>
      <c r="B75" t="s">
        <v>4</v>
      </c>
      <c r="C75">
        <f>EXP(VLOOKUP(B75,'Hasenauer-Variabelen'!$A$1:$D$12,3,FALSE)+VLOOKUP(B75,'Hasenauer-Variabelen'!$A$1:D88,4,FALSE)*LN(A75))</f>
        <v>11.975129628823483</v>
      </c>
      <c r="D75" t="s">
        <v>29</v>
      </c>
    </row>
    <row r="76" spans="1:4">
      <c r="A76">
        <v>75</v>
      </c>
      <c r="B76" t="s">
        <v>4</v>
      </c>
      <c r="C76">
        <f>EXP(VLOOKUP(B76,'Hasenauer-Variabelen'!$A$1:$D$12,3,FALSE)+VLOOKUP(B76,'Hasenauer-Variabelen'!$A$1:D89,4,FALSE)*LN(A76))</f>
        <v>12.504265183067856</v>
      </c>
      <c r="D76" t="s">
        <v>29</v>
      </c>
    </row>
    <row r="77" spans="1:4">
      <c r="A77">
        <v>80</v>
      </c>
      <c r="B77" t="s">
        <v>4</v>
      </c>
      <c r="C77">
        <f>EXP(VLOOKUP(B77,'Hasenauer-Variabelen'!$A$1:$D$12,3,FALSE)+VLOOKUP(B77,'Hasenauer-Variabelen'!$A$1:D90,4,FALSE)*LN(A77))</f>
        <v>13.020383511957647</v>
      </c>
      <c r="D77" t="s">
        <v>29</v>
      </c>
    </row>
    <row r="78" spans="1:4">
      <c r="A78">
        <v>85</v>
      </c>
      <c r="B78" t="s">
        <v>4</v>
      </c>
      <c r="C78">
        <f>EXP(VLOOKUP(B78,'Hasenauer-Variabelen'!$A$1:$D$12,3,FALSE)+VLOOKUP(B78,'Hasenauer-Variabelen'!$A$1:D91,4,FALSE)*LN(A78))</f>
        <v>13.524590438228158</v>
      </c>
      <c r="D78" t="s">
        <v>29</v>
      </c>
    </row>
    <row r="79" spans="1:4">
      <c r="A79">
        <v>90</v>
      </c>
      <c r="B79" t="s">
        <v>4</v>
      </c>
      <c r="C79">
        <f>EXP(VLOOKUP(B79,'Hasenauer-Variabelen'!$A$1:$D$12,3,FALSE)+VLOOKUP(B79,'Hasenauer-Variabelen'!$A$1:D92,4,FALSE)*LN(A79))</f>
        <v>14.017838826418103</v>
      </c>
      <c r="D79" t="s">
        <v>29</v>
      </c>
    </row>
    <row r="80" spans="1:4">
      <c r="A80">
        <v>95</v>
      </c>
      <c r="B80" t="s">
        <v>4</v>
      </c>
      <c r="C80">
        <f>EXP(VLOOKUP(B80,'Hasenauer-Variabelen'!$A$1:$D$12,3,FALSE)+VLOOKUP(B80,'Hasenauer-Variabelen'!$A$1:D93,4,FALSE)*LN(A80))</f>
        <v>14.500957010403488</v>
      </c>
      <c r="D80" t="s">
        <v>29</v>
      </c>
    </row>
    <row r="81" spans="1:4">
      <c r="A81">
        <v>100</v>
      </c>
      <c r="B81" t="s">
        <v>4</v>
      </c>
      <c r="C81">
        <f>EXP(VLOOKUP(B81,'Hasenauer-Variabelen'!$A$1:$D$12,3,FALSE)+VLOOKUP(B81,'Hasenauer-Variabelen'!$A$1:D94,4,FALSE)*LN(A81))</f>
        <v>14.974670726689547</v>
      </c>
      <c r="D81" t="s">
        <v>29</v>
      </c>
    </row>
    <row r="82" spans="1:4">
      <c r="A82">
        <v>5</v>
      </c>
      <c r="B82" t="s">
        <v>8</v>
      </c>
      <c r="C82">
        <f>EXP(VLOOKUP(B82,'Hasenauer-Variabelen'!$A$1:$D$12,3,FALSE)+VLOOKUP(B82,'Hasenauer-Variabelen'!$A$1:D95,4,FALSE)*LN(A82))</f>
        <v>2.3597491540840521</v>
      </c>
      <c r="D82" t="s">
        <v>29</v>
      </c>
    </row>
    <row r="83" spans="1:4">
      <c r="A83">
        <v>10</v>
      </c>
      <c r="B83" t="s">
        <v>8</v>
      </c>
      <c r="C83">
        <f>EXP(VLOOKUP(B83,'Hasenauer-Variabelen'!$A$1:$D$12,3,FALSE)+VLOOKUP(B83,'Hasenauer-Variabelen'!$A$1:D96,4,FALSE)*LN(A83))</f>
        <v>3.6543973419356459</v>
      </c>
      <c r="D83" t="s">
        <v>29</v>
      </c>
    </row>
    <row r="84" spans="1:4">
      <c r="A84">
        <v>15</v>
      </c>
      <c r="B84" t="s">
        <v>8</v>
      </c>
      <c r="C84">
        <f>EXP(VLOOKUP(B84,'Hasenauer-Variabelen'!$A$1:$D$12,3,FALSE)+VLOOKUP(B84,'Hasenauer-Variabelen'!$A$1:D97,4,FALSE)*LN(A84))</f>
        <v>4.7198625428482757</v>
      </c>
      <c r="D84" t="s">
        <v>29</v>
      </c>
    </row>
    <row r="85" spans="1:4">
      <c r="A85">
        <v>20</v>
      </c>
      <c r="B85" t="s">
        <v>8</v>
      </c>
      <c r="C85">
        <f>EXP(VLOOKUP(B85,'Hasenauer-Variabelen'!$A$1:$D$12,3,FALSE)+VLOOKUP(B85,'Hasenauer-Variabelen'!$A$1:D98,4,FALSE)*LN(A85))</f>
        <v>5.6593387943940021</v>
      </c>
      <c r="D85" t="s">
        <v>29</v>
      </c>
    </row>
    <row r="86" spans="1:4">
      <c r="A86">
        <v>25</v>
      </c>
      <c r="B86" t="s">
        <v>8</v>
      </c>
      <c r="C86">
        <f>EXP(VLOOKUP(B86,'Hasenauer-Variabelen'!$A$1:$D$12,3,FALSE)+VLOOKUP(B86,'Hasenauer-Variabelen'!$A$1:D99,4,FALSE)*LN(A86))</f>
        <v>6.5150223785098298</v>
      </c>
      <c r="D86" t="s">
        <v>29</v>
      </c>
    </row>
    <row r="87" spans="1:4">
      <c r="A87">
        <v>30</v>
      </c>
      <c r="B87" t="s">
        <v>8</v>
      </c>
      <c r="C87">
        <f>EXP(VLOOKUP(B87,'Hasenauer-Variabelen'!$A$1:$D$12,3,FALSE)+VLOOKUP(B87,'Hasenauer-Variabelen'!$A$1:D100,4,FALSE)*LN(A87))</f>
        <v>7.3093587515582108</v>
      </c>
      <c r="D87" t="s">
        <v>29</v>
      </c>
    </row>
    <row r="88" spans="1:4">
      <c r="A88">
        <v>35</v>
      </c>
      <c r="B88" t="s">
        <v>8</v>
      </c>
      <c r="C88">
        <f>EXP(VLOOKUP(B88,'Hasenauer-Variabelen'!$A$1:$D$12,3,FALSE)+VLOOKUP(B88,'Hasenauer-Variabelen'!$A$1:D101,4,FALSE)*LN(A88))</f>
        <v>8.0560601896908004</v>
      </c>
      <c r="D88" t="s">
        <v>29</v>
      </c>
    </row>
    <row r="89" spans="1:4">
      <c r="A89">
        <v>40</v>
      </c>
      <c r="B89" t="s">
        <v>8</v>
      </c>
      <c r="C89">
        <f>EXP(VLOOKUP(B89,'Hasenauer-Variabelen'!$A$1:$D$12,3,FALSE)+VLOOKUP(B89,'Hasenauer-Variabelen'!$A$1:D102,4,FALSE)*LN(A89))</f>
        <v>8.7642674271343637</v>
      </c>
      <c r="D89" t="s">
        <v>29</v>
      </c>
    </row>
    <row r="90" spans="1:4">
      <c r="A90">
        <v>45</v>
      </c>
      <c r="B90" t="s">
        <v>8</v>
      </c>
      <c r="C90">
        <f>EXP(VLOOKUP(B90,'Hasenauer-Variabelen'!$A$1:$D$12,3,FALSE)+VLOOKUP(B90,'Hasenauer-Variabelen'!$A$1:D103,4,FALSE)*LN(A90))</f>
        <v>9.4404536112776576</v>
      </c>
      <c r="D90" t="s">
        <v>29</v>
      </c>
    </row>
    <row r="91" spans="1:4">
      <c r="A91">
        <v>50</v>
      </c>
      <c r="B91" t="s">
        <v>8</v>
      </c>
      <c r="C91">
        <f>EXP(VLOOKUP(B91,'Hasenauer-Variabelen'!$A$1:$D$12,3,FALSE)+VLOOKUP(B91,'Hasenauer-Variabelen'!$A$1:D104,4,FALSE)*LN(A91))</f>
        <v>10.089411589139413</v>
      </c>
      <c r="D91" t="s">
        <v>29</v>
      </c>
    </row>
    <row r="92" spans="1:4">
      <c r="A92">
        <v>55</v>
      </c>
      <c r="B92" t="s">
        <v>8</v>
      </c>
      <c r="C92">
        <f>EXP(VLOOKUP(B92,'Hasenauer-Variabelen'!$A$1:$D$12,3,FALSE)+VLOOKUP(B92,'Hasenauer-Variabelen'!$A$1:D105,4,FALSE)*LN(A92))</f>
        <v>10.714813678015121</v>
      </c>
      <c r="D92" t="s">
        <v>29</v>
      </c>
    </row>
    <row r="93" spans="1:4">
      <c r="A93">
        <v>60</v>
      </c>
      <c r="B93" t="s">
        <v>8</v>
      </c>
      <c r="C93">
        <f>EXP(VLOOKUP(B93,'Hasenauer-Variabelen'!$A$1:$D$12,3,FALSE)+VLOOKUP(B93,'Hasenauer-Variabelen'!$A$1:D106,4,FALSE)*LN(A93))</f>
        <v>11.319551125473962</v>
      </c>
      <c r="D93" t="s">
        <v>29</v>
      </c>
    </row>
    <row r="94" spans="1:4">
      <c r="A94">
        <v>65</v>
      </c>
      <c r="B94" t="s">
        <v>8</v>
      </c>
      <c r="C94">
        <f>EXP(VLOOKUP(B94,'Hasenauer-Variabelen'!$A$1:$D$12,3,FALSE)+VLOOKUP(B94,'Hasenauer-Variabelen'!$A$1:D107,4,FALSE)*LN(A94))</f>
        <v>11.905951097073958</v>
      </c>
      <c r="D94" t="s">
        <v>29</v>
      </c>
    </row>
    <row r="95" spans="1:4">
      <c r="A95">
        <v>70</v>
      </c>
      <c r="B95" t="s">
        <v>8</v>
      </c>
      <c r="C95">
        <f>EXP(VLOOKUP(B95,'Hasenauer-Variabelen'!$A$1:$D$12,3,FALSE)+VLOOKUP(B95,'Hasenauer-Variabelen'!$A$1:D108,4,FALSE)*LN(A95))</f>
        <v>12.475921388816825</v>
      </c>
      <c r="D95" t="s">
        <v>29</v>
      </c>
    </row>
    <row r="96" spans="1:4">
      <c r="A96">
        <v>75</v>
      </c>
      <c r="B96" t="s">
        <v>8</v>
      </c>
      <c r="C96">
        <f>EXP(VLOOKUP(B96,'Hasenauer-Variabelen'!$A$1:$D$12,3,FALSE)+VLOOKUP(B96,'Hasenauer-Variabelen'!$A$1:D109,4,FALSE)*LN(A96))</f>
        <v>13.031050371149547</v>
      </c>
      <c r="D96" t="s">
        <v>29</v>
      </c>
    </row>
    <row r="97" spans="1:4">
      <c r="A97">
        <v>80</v>
      </c>
      <c r="B97" t="s">
        <v>8</v>
      </c>
      <c r="C97">
        <f>EXP(VLOOKUP(B97,'Hasenauer-Variabelen'!$A$1:$D$12,3,FALSE)+VLOOKUP(B97,'Hasenauer-Variabelen'!$A$1:D110,4,FALSE)*LN(A97))</f>
        <v>13.572678068048649</v>
      </c>
      <c r="D97" t="s">
        <v>29</v>
      </c>
    </row>
    <row r="98" spans="1:4">
      <c r="A98">
        <v>85</v>
      </c>
      <c r="B98" t="s">
        <v>8</v>
      </c>
      <c r="C98">
        <f>EXP(VLOOKUP(B98,'Hasenauer-Variabelen'!$A$1:$D$12,3,FALSE)+VLOOKUP(B98,'Hasenauer-Variabelen'!$A$1:D111,4,FALSE)*LN(A98))</f>
        <v>14.101947985553451</v>
      </c>
      <c r="D98" t="s">
        <v>29</v>
      </c>
    </row>
    <row r="99" spans="1:4">
      <c r="A99">
        <v>90</v>
      </c>
      <c r="B99" t="s">
        <v>8</v>
      </c>
      <c r="C99">
        <f>EXP(VLOOKUP(B99,'Hasenauer-Variabelen'!$A$1:$D$12,3,FALSE)+VLOOKUP(B99,'Hasenauer-Variabelen'!$A$1:D112,4,FALSE)*LN(A99))</f>
        <v>14.619845725555884</v>
      </c>
      <c r="D99" t="s">
        <v>29</v>
      </c>
    </row>
    <row r="100" spans="1:4">
      <c r="A100">
        <v>95</v>
      </c>
      <c r="B100" t="s">
        <v>8</v>
      </c>
      <c r="C100">
        <f>EXP(VLOOKUP(B100,'Hasenauer-Variabelen'!$A$1:$D$12,3,FALSE)+VLOOKUP(B100,'Hasenauer-Variabelen'!$A$1:D113,4,FALSE)*LN(A100))</f>
        <v>15.12722829870745</v>
      </c>
      <c r="D100" t="s">
        <v>29</v>
      </c>
    </row>
    <row r="101" spans="1:4">
      <c r="A101">
        <v>100</v>
      </c>
      <c r="B101" t="s">
        <v>8</v>
      </c>
      <c r="C101">
        <f>EXP(VLOOKUP(B101,'Hasenauer-Variabelen'!$A$1:$D$12,3,FALSE)+VLOOKUP(B101,'Hasenauer-Variabelen'!$A$1:D114,4,FALSE)*LN(A101))</f>
        <v>15.624846746626902</v>
      </c>
      <c r="D101" t="s">
        <v>29</v>
      </c>
    </row>
    <row r="102" spans="1:4">
      <c r="A102">
        <v>5</v>
      </c>
      <c r="B102" t="s">
        <v>9</v>
      </c>
      <c r="C102">
        <f>EXP(VLOOKUP(B102,'Hasenauer-Variabelen'!$A$1:$D$12,3,FALSE)+VLOOKUP(B102,'Hasenauer-Variabelen'!$A$1:D115,4,FALSE)*LN(A102))</f>
        <v>3.467558348887148</v>
      </c>
      <c r="D102" t="s">
        <v>29</v>
      </c>
    </row>
    <row r="103" spans="1:4">
      <c r="A103">
        <v>10</v>
      </c>
      <c r="B103" t="s">
        <v>9</v>
      </c>
      <c r="C103">
        <f>EXP(VLOOKUP(B103,'Hasenauer-Variabelen'!$A$1:$D$12,3,FALSE)+VLOOKUP(B103,'Hasenauer-Variabelen'!$A$1:D116,4,FALSE)*LN(A103))</f>
        <v>5.2821312835813874</v>
      </c>
      <c r="D103" t="s">
        <v>29</v>
      </c>
    </row>
    <row r="104" spans="1:4">
      <c r="A104">
        <v>15</v>
      </c>
      <c r="B104" t="s">
        <v>9</v>
      </c>
      <c r="C104">
        <f>EXP(VLOOKUP(B104,'Hasenauer-Variabelen'!$A$1:$D$12,3,FALSE)+VLOOKUP(B104,'Hasenauer-Variabelen'!$A$1:D117,4,FALSE)*LN(A104))</f>
        <v>6.7566559256931678</v>
      </c>
      <c r="D104" t="s">
        <v>29</v>
      </c>
    </row>
    <row r="105" spans="1:4">
      <c r="A105">
        <v>20</v>
      </c>
      <c r="B105" t="s">
        <v>9</v>
      </c>
      <c r="C105">
        <f>EXP(VLOOKUP(B105,'Hasenauer-Variabelen'!$A$1:$D$12,3,FALSE)+VLOOKUP(B105,'Hasenauer-Variabelen'!$A$1:D118,4,FALSE)*LN(A105))</f>
        <v>8.0462700522237682</v>
      </c>
      <c r="D105" t="s">
        <v>29</v>
      </c>
    </row>
    <row r="106" spans="1:4">
      <c r="A106">
        <v>25</v>
      </c>
      <c r="B106" t="s">
        <v>9</v>
      </c>
      <c r="C106">
        <f>EXP(VLOOKUP(B106,'Hasenauer-Variabelen'!$A$1:$D$12,3,FALSE)+VLOOKUP(B106,'Hasenauer-Variabelen'!$A$1:D119,4,FALSE)*LN(A106))</f>
        <v>9.2137911610330541</v>
      </c>
      <c r="D106" t="s">
        <v>29</v>
      </c>
    </row>
    <row r="107" spans="1:4">
      <c r="A107">
        <v>30</v>
      </c>
      <c r="B107" t="s">
        <v>9</v>
      </c>
      <c r="C107">
        <f>EXP(VLOOKUP(B107,'Hasenauer-Variabelen'!$A$1:$D$12,3,FALSE)+VLOOKUP(B107,'Hasenauer-Variabelen'!$A$1:D120,4,FALSE)*LN(A107))</f>
        <v>10.292413291027499</v>
      </c>
      <c r="D107" t="s">
        <v>29</v>
      </c>
    </row>
    <row r="108" spans="1:4">
      <c r="A108">
        <v>35</v>
      </c>
      <c r="B108" t="s">
        <v>9</v>
      </c>
      <c r="C108">
        <f>EXP(VLOOKUP(B108,'Hasenauer-Variabelen'!$A$1:$D$12,3,FALSE)+VLOOKUP(B108,'Hasenauer-Variabelen'!$A$1:D121,4,FALSE)*LN(A108))</f>
        <v>11.302312411135766</v>
      </c>
      <c r="D108" t="s">
        <v>29</v>
      </c>
    </row>
    <row r="109" spans="1:4">
      <c r="A109">
        <v>40</v>
      </c>
      <c r="B109" t="s">
        <v>9</v>
      </c>
      <c r="C109">
        <f>EXP(VLOOKUP(B109,'Hasenauer-Variabelen'!$A$1:$D$12,3,FALSE)+VLOOKUP(B109,'Hasenauer-Variabelen'!$A$1:D122,4,FALSE)*LN(A109))</f>
        <v>12.25688236007198</v>
      </c>
      <c r="D109" t="s">
        <v>29</v>
      </c>
    </row>
    <row r="110" spans="1:4">
      <c r="A110">
        <v>45</v>
      </c>
      <c r="B110" t="s">
        <v>9</v>
      </c>
      <c r="C110">
        <f>EXP(VLOOKUP(B110,'Hasenauer-Variabelen'!$A$1:$D$12,3,FALSE)+VLOOKUP(B110,'Hasenauer-Variabelen'!$A$1:D123,4,FALSE)*LN(A110))</f>
        <v>13.165574939166039</v>
      </c>
      <c r="D110" t="s">
        <v>29</v>
      </c>
    </row>
    <row r="111" spans="1:4">
      <c r="A111">
        <v>50</v>
      </c>
      <c r="B111" t="s">
        <v>9</v>
      </c>
      <c r="C111">
        <f>EXP(VLOOKUP(B111,'Hasenauer-Variabelen'!$A$1:$D$12,3,FALSE)+VLOOKUP(B111,'Hasenauer-Variabelen'!$A$1:D124,4,FALSE)*LN(A111))</f>
        <v>14.035367147519713</v>
      </c>
      <c r="D111" t="s">
        <v>29</v>
      </c>
    </row>
    <row r="112" spans="1:4">
      <c r="A112">
        <v>55</v>
      </c>
      <c r="B112" t="s">
        <v>9</v>
      </c>
      <c r="C112">
        <f>EXP(VLOOKUP(B112,'Hasenauer-Variabelen'!$A$1:$D$12,3,FALSE)+VLOOKUP(B112,'Hasenauer-Variabelen'!$A$1:D125,4,FALSE)*LN(A112))</f>
        <v>14.871590425614423</v>
      </c>
      <c r="D112" t="s">
        <v>29</v>
      </c>
    </row>
    <row r="113" spans="1:4">
      <c r="A113">
        <v>60</v>
      </c>
      <c r="B113" t="s">
        <v>9</v>
      </c>
      <c r="C113">
        <f>EXP(VLOOKUP(B113,'Hasenauer-Variabelen'!$A$1:$D$12,3,FALSE)+VLOOKUP(B113,'Hasenauer-Variabelen'!$A$1:D126,4,FALSE)*LN(A113))</f>
        <v>15.678432129493359</v>
      </c>
      <c r="D113" t="s">
        <v>29</v>
      </c>
    </row>
    <row r="114" spans="1:4">
      <c r="A114">
        <v>65</v>
      </c>
      <c r="B114" t="s">
        <v>9</v>
      </c>
      <c r="C114">
        <f>EXP(VLOOKUP(B114,'Hasenauer-Variabelen'!$A$1:$D$12,3,FALSE)+VLOOKUP(B114,'Hasenauer-Variabelen'!$A$1:D127,4,FALSE)*LN(A114))</f>
        <v>16.459255284669332</v>
      </c>
      <c r="D114" t="s">
        <v>29</v>
      </c>
    </row>
    <row r="115" spans="1:4">
      <c r="A115">
        <v>70</v>
      </c>
      <c r="B115" t="s">
        <v>9</v>
      </c>
      <c r="C115">
        <f>EXP(VLOOKUP(B115,'Hasenauer-Variabelen'!$A$1:$D$12,3,FALSE)+VLOOKUP(B115,'Hasenauer-Variabelen'!$A$1:D128,4,FALSE)*LN(A115))</f>
        <v>17.216811357429698</v>
      </c>
      <c r="D115" t="s">
        <v>29</v>
      </c>
    </row>
    <row r="116" spans="1:4">
      <c r="A116">
        <v>75</v>
      </c>
      <c r="B116" t="s">
        <v>9</v>
      </c>
      <c r="C116">
        <f>EXP(VLOOKUP(B116,'Hasenauer-Variabelen'!$A$1:$D$12,3,FALSE)+VLOOKUP(B116,'Hasenauer-Variabelen'!$A$1:D129,4,FALSE)*LN(A116))</f>
        <v>17.95338690299841</v>
      </c>
      <c r="D116" t="s">
        <v>29</v>
      </c>
    </row>
    <row r="117" spans="1:4">
      <c r="A117">
        <v>80</v>
      </c>
      <c r="B117" t="s">
        <v>9</v>
      </c>
      <c r="C117">
        <f>EXP(VLOOKUP(B117,'Hasenauer-Variabelen'!$A$1:$D$12,3,FALSE)+VLOOKUP(B117,'Hasenauer-Variabelen'!$A$1:D130,4,FALSE)*LN(A117))</f>
        <v>18.670907664492805</v>
      </c>
      <c r="D117" t="s">
        <v>29</v>
      </c>
    </row>
    <row r="118" spans="1:4">
      <c r="A118">
        <v>85</v>
      </c>
      <c r="B118" t="s">
        <v>9</v>
      </c>
      <c r="C118">
        <f>EXP(VLOOKUP(B118,'Hasenauer-Variabelen'!$A$1:$D$12,3,FALSE)+VLOOKUP(B118,'Hasenauer-Variabelen'!$A$1:D131,4,FALSE)*LN(A118))</f>
        <v>19.371014346719608</v>
      </c>
      <c r="D118" t="s">
        <v>29</v>
      </c>
    </row>
    <row r="119" spans="1:4">
      <c r="A119">
        <v>90</v>
      </c>
      <c r="B119" t="s">
        <v>9</v>
      </c>
      <c r="C119">
        <f>EXP(VLOOKUP(B119,'Hasenauer-Variabelen'!$A$1:$D$12,3,FALSE)+VLOOKUP(B119,'Hasenauer-Variabelen'!$A$1:D132,4,FALSE)*LN(A119))</f>
        <v>20.055118978696481</v>
      </c>
      <c r="D119" t="s">
        <v>29</v>
      </c>
    </row>
    <row r="120" spans="1:4">
      <c r="A120">
        <v>95</v>
      </c>
      <c r="B120" t="s">
        <v>9</v>
      </c>
      <c r="C120">
        <f>EXP(VLOOKUP(B120,'Hasenauer-Variabelen'!$A$1:$D$12,3,FALSE)+VLOOKUP(B120,'Hasenauer-Variabelen'!$A$1:D133,4,FALSE)*LN(A120))</f>
        <v>20.724447635510661</v>
      </c>
      <c r="D120" t="s">
        <v>29</v>
      </c>
    </row>
    <row r="121" spans="1:4">
      <c r="A121">
        <v>100</v>
      </c>
      <c r="B121" t="s">
        <v>9</v>
      </c>
      <c r="C121">
        <f>EXP(VLOOKUP(B121,'Hasenauer-Variabelen'!$A$1:$D$12,3,FALSE)+VLOOKUP(B121,'Hasenauer-Variabelen'!$A$1:D134,4,FALSE)*LN(A121))</f>
        <v>21.380073362069659</v>
      </c>
      <c r="D121" t="s">
        <v>29</v>
      </c>
    </row>
    <row r="122" spans="1:4">
      <c r="A122">
        <v>5</v>
      </c>
      <c r="B122" t="s">
        <v>0</v>
      </c>
      <c r="C122">
        <f>EXP(VLOOKUP(B122,'Hasenauer-Variabelen'!$A$1:$D$12,3,FALSE)+VLOOKUP(B122,'Hasenauer-Variabelen'!$A$1:D135,4,FALSE)*LN(A122))</f>
        <v>2.1860496500393487</v>
      </c>
      <c r="D122" t="s">
        <v>29</v>
      </c>
    </row>
    <row r="123" spans="1:4">
      <c r="A123">
        <v>10</v>
      </c>
      <c r="B123" t="s">
        <v>0</v>
      </c>
      <c r="C123">
        <f>EXP(VLOOKUP(B123,'Hasenauer-Variabelen'!$A$1:$D$12,3,FALSE)+VLOOKUP(B123,'Hasenauer-Variabelen'!$A$1:D136,4,FALSE)*LN(A123))</f>
        <v>3.6329113664422339</v>
      </c>
      <c r="D123" t="s">
        <v>29</v>
      </c>
    </row>
    <row r="124" spans="1:4">
      <c r="A124">
        <v>15</v>
      </c>
      <c r="B124" t="s">
        <v>0</v>
      </c>
      <c r="C124">
        <f>EXP(VLOOKUP(B124,'Hasenauer-Variabelen'!$A$1:$D$12,3,FALSE)+VLOOKUP(B124,'Hasenauer-Variabelen'!$A$1:D137,4,FALSE)*LN(A124))</f>
        <v>4.88983806485904</v>
      </c>
      <c r="D124" t="s">
        <v>29</v>
      </c>
    </row>
    <row r="125" spans="1:4">
      <c r="A125">
        <v>20</v>
      </c>
      <c r="B125" t="s">
        <v>0</v>
      </c>
      <c r="C125">
        <f>EXP(VLOOKUP(B125,'Hasenauer-Variabelen'!$A$1:$D$12,3,FALSE)+VLOOKUP(B125,'Hasenauer-Variabelen'!$A$1:D138,4,FALSE)*LN(A125))</f>
        <v>6.0373948945704923</v>
      </c>
      <c r="D125" t="s">
        <v>29</v>
      </c>
    </row>
    <row r="126" spans="1:4">
      <c r="A126">
        <v>25</v>
      </c>
      <c r="B126" t="s">
        <v>0</v>
      </c>
      <c r="C126">
        <f>EXP(VLOOKUP(B126,'Hasenauer-Variabelen'!$A$1:$D$12,3,FALSE)+VLOOKUP(B126,'Hasenauer-Variabelen'!$A$1:D139,4,FALSE)*LN(A126))</f>
        <v>7.1099286205674881</v>
      </c>
      <c r="D126" t="s">
        <v>29</v>
      </c>
    </row>
    <row r="127" spans="1:4">
      <c r="A127">
        <v>30</v>
      </c>
      <c r="B127" t="s">
        <v>0</v>
      </c>
      <c r="C127">
        <f>EXP(VLOOKUP(B127,'Hasenauer-Variabelen'!$A$1:$D$12,3,FALSE)+VLOOKUP(B127,'Hasenauer-Variabelen'!$A$1:D140,4,FALSE)*LN(A127))</f>
        <v>8.1262327621737871</v>
      </c>
      <c r="D127" t="s">
        <v>29</v>
      </c>
    </row>
    <row r="128" spans="1:4">
      <c r="A128">
        <v>35</v>
      </c>
      <c r="B128" t="s">
        <v>0</v>
      </c>
      <c r="C128">
        <f>EXP(VLOOKUP(B128,'Hasenauer-Variabelen'!$A$1:$D$12,3,FALSE)+VLOOKUP(B128,'Hasenauer-Variabelen'!$A$1:D141,4,FALSE)*LN(A128))</f>
        <v>9.098040489025303</v>
      </c>
      <c r="D128" t="s">
        <v>29</v>
      </c>
    </row>
    <row r="129" spans="1:4">
      <c r="A129">
        <v>40</v>
      </c>
      <c r="B129" t="s">
        <v>0</v>
      </c>
      <c r="C129">
        <f>EXP(VLOOKUP(B129,'Hasenauer-Variabelen'!$A$1:$D$12,3,FALSE)+VLOOKUP(B129,'Hasenauer-Variabelen'!$A$1:D142,4,FALSE)*LN(A129))</f>
        <v>10.033313074929774</v>
      </c>
      <c r="D129" t="s">
        <v>29</v>
      </c>
    </row>
    <row r="130" spans="1:4">
      <c r="A130">
        <v>45</v>
      </c>
      <c r="B130" t="s">
        <v>0</v>
      </c>
      <c r="C130">
        <f>EXP(VLOOKUP(B130,'Hasenauer-Variabelen'!$A$1:$D$12,3,FALSE)+VLOOKUP(B130,'Hasenauer-Variabelen'!$A$1:D143,4,FALSE)*LN(A130))</f>
        <v>10.937773668641976</v>
      </c>
      <c r="D130" t="s">
        <v>29</v>
      </c>
    </row>
    <row r="131" spans="1:4">
      <c r="A131">
        <v>50</v>
      </c>
      <c r="B131" t="s">
        <v>0</v>
      </c>
      <c r="C131">
        <f>EXP(VLOOKUP(B131,'Hasenauer-Variabelen'!$A$1:$D$12,3,FALSE)+VLOOKUP(B131,'Hasenauer-Variabelen'!$A$1:D144,4,FALSE)*LN(A131))</f>
        <v>11.815715393192303</v>
      </c>
      <c r="D131" t="s">
        <v>29</v>
      </c>
    </row>
    <row r="132" spans="1:4">
      <c r="A132">
        <v>55</v>
      </c>
      <c r="B132" t="s">
        <v>0</v>
      </c>
      <c r="C132">
        <f>EXP(VLOOKUP(B132,'Hasenauer-Variabelen'!$A$1:$D$12,3,FALSE)+VLOOKUP(B132,'Hasenauer-Variabelen'!$A$1:D145,4,FALSE)*LN(A132))</f>
        <v>12.67046580597559</v>
      </c>
      <c r="D132" t="s">
        <v>29</v>
      </c>
    </row>
    <row r="133" spans="1:4">
      <c r="A133">
        <v>60</v>
      </c>
      <c r="B133" t="s">
        <v>0</v>
      </c>
      <c r="C133">
        <f>EXP(VLOOKUP(B133,'Hasenauer-Variabelen'!$A$1:$D$12,3,FALSE)+VLOOKUP(B133,'Hasenauer-Variabelen'!$A$1:D146,4,FALSE)*LN(A133))</f>
        <v>13.504671939873383</v>
      </c>
      <c r="D133" t="s">
        <v>29</v>
      </c>
    </row>
    <row r="134" spans="1:4">
      <c r="A134">
        <v>65</v>
      </c>
      <c r="B134" t="s">
        <v>0</v>
      </c>
      <c r="C134">
        <f>EXP(VLOOKUP(B134,'Hasenauer-Variabelen'!$A$1:$D$12,3,FALSE)+VLOOKUP(B134,'Hasenauer-Variabelen'!$A$1:D147,4,FALSE)*LN(A134))</f>
        <v>14.320484451603786</v>
      </c>
      <c r="D134" t="s">
        <v>29</v>
      </c>
    </row>
    <row r="135" spans="1:4">
      <c r="A135">
        <v>70</v>
      </c>
      <c r="B135" t="s">
        <v>0</v>
      </c>
      <c r="C135">
        <f>EXP(VLOOKUP(B135,'Hasenauer-Variabelen'!$A$1:$D$12,3,FALSE)+VLOOKUP(B135,'Hasenauer-Variabelen'!$A$1:D148,4,FALSE)*LN(A135))</f>
        <v>15.119681615802623</v>
      </c>
      <c r="D135" t="s">
        <v>29</v>
      </c>
    </row>
    <row r="136" spans="1:4">
      <c r="A136">
        <v>75</v>
      </c>
      <c r="B136" t="s">
        <v>0</v>
      </c>
      <c r="C136">
        <f>EXP(VLOOKUP(B136,'Hasenauer-Variabelen'!$A$1:$D$12,3,FALSE)+VLOOKUP(B136,'Hasenauer-Variabelen'!$A$1:D149,4,FALSE)*LN(A136))</f>
        <v>15.903755711429437</v>
      </c>
      <c r="D136" t="s">
        <v>29</v>
      </c>
    </row>
    <row r="137" spans="1:4">
      <c r="A137">
        <v>80</v>
      </c>
      <c r="B137" t="s">
        <v>0</v>
      </c>
      <c r="C137">
        <f>EXP(VLOOKUP(B137,'Hasenauer-Variabelen'!$A$1:$D$12,3,FALSE)+VLOOKUP(B137,'Hasenauer-Variabelen'!$A$1:D150,4,FALSE)*LN(A137))</f>
        <v>16.673974954013389</v>
      </c>
      <c r="D137" t="s">
        <v>29</v>
      </c>
    </row>
    <row r="138" spans="1:4">
      <c r="A138">
        <v>85</v>
      </c>
      <c r="B138" t="s">
        <v>0</v>
      </c>
      <c r="C138">
        <f>EXP(VLOOKUP(B138,'Hasenauer-Variabelen'!$A$1:$D$12,3,FALSE)+VLOOKUP(B138,'Hasenauer-Variabelen'!$A$1:D151,4,FALSE)*LN(A138))</f>
        <v>17.43142899131179</v>
      </c>
      <c r="D138" t="s">
        <v>29</v>
      </c>
    </row>
    <row r="139" spans="1:4">
      <c r="A139">
        <v>90</v>
      </c>
      <c r="B139" t="s">
        <v>0</v>
      </c>
      <c r="C139">
        <f>EXP(VLOOKUP(B139,'Hasenauer-Variabelen'!$A$1:$D$12,3,FALSE)+VLOOKUP(B139,'Hasenauer-Variabelen'!$A$1:D152,4,FALSE)*LN(A139))</f>
        <v>18.177063034074621</v>
      </c>
      <c r="D139" t="s">
        <v>29</v>
      </c>
    </row>
    <row r="140" spans="1:4">
      <c r="A140">
        <v>95</v>
      </c>
      <c r="B140" t="s">
        <v>0</v>
      </c>
      <c r="C140">
        <f>EXP(VLOOKUP(B140,'Hasenauer-Variabelen'!$A$1:$D$12,3,FALSE)+VLOOKUP(B140,'Hasenauer-Variabelen'!$A$1:D153,4,FALSE)*LN(A140))</f>
        <v>18.911703933845232</v>
      </c>
      <c r="D140" t="s">
        <v>29</v>
      </c>
    </row>
    <row r="141" spans="1:4">
      <c r="A141">
        <v>100</v>
      </c>
      <c r="B141" t="s">
        <v>0</v>
      </c>
      <c r="C141">
        <f>EXP(VLOOKUP(B141,'Hasenauer-Variabelen'!$A$1:$D$12,3,FALSE)+VLOOKUP(B141,'Hasenauer-Variabelen'!$A$1:D154,4,FALSE)*LN(A141))</f>
        <v>19.636080431111036</v>
      </c>
      <c r="D141" t="s">
        <v>29</v>
      </c>
    </row>
    <row r="142" spans="1:4">
      <c r="A142">
        <v>5</v>
      </c>
      <c r="B142" s="1" t="s">
        <v>10</v>
      </c>
      <c r="C142">
        <f>EXP(VLOOKUP(B142,'Hasenauer-Variabelen'!$A$1:$D$12,3,FALSE)+VLOOKUP(B142,'Hasenauer-Variabelen'!$A$1:D155,4,FALSE)*LN(A142))</f>
        <v>3.5558279615738031</v>
      </c>
      <c r="D142" t="s">
        <v>29</v>
      </c>
    </row>
    <row r="143" spans="1:4">
      <c r="A143">
        <v>10</v>
      </c>
      <c r="B143" s="1" t="s">
        <v>10</v>
      </c>
      <c r="C143">
        <f>EXP(VLOOKUP(B143,'Hasenauer-Variabelen'!$A$1:$D$12,3,FALSE)+VLOOKUP(B143,'Hasenauer-Variabelen'!$A$1:D156,4,FALSE)*LN(A143))</f>
        <v>5.1290282774870475</v>
      </c>
      <c r="D143" t="s">
        <v>29</v>
      </c>
    </row>
    <row r="144" spans="1:4">
      <c r="A144">
        <v>15</v>
      </c>
      <c r="B144" s="1" t="s">
        <v>10</v>
      </c>
      <c r="C144">
        <f>EXP(VLOOKUP(B144,'Hasenauer-Variabelen'!$A$1:$D$12,3,FALSE)+VLOOKUP(B144,'Hasenauer-Variabelen'!$A$1:D157,4,FALSE)*LN(A144))</f>
        <v>6.3547624967423681</v>
      </c>
      <c r="D144" t="s">
        <v>29</v>
      </c>
    </row>
    <row r="145" spans="1:4">
      <c r="A145">
        <v>20</v>
      </c>
      <c r="B145" s="1" t="s">
        <v>10</v>
      </c>
      <c r="C145">
        <f>EXP(VLOOKUP(B145,'Hasenauer-Variabelen'!$A$1:$D$12,3,FALSE)+VLOOKUP(B145,'Hasenauer-Variabelen'!$A$1:D158,4,FALSE)*LN(A145))</f>
        <v>7.3982575522631135</v>
      </c>
      <c r="D145" t="s">
        <v>29</v>
      </c>
    </row>
    <row r="146" spans="1:4">
      <c r="A146">
        <v>25</v>
      </c>
      <c r="B146" s="1" t="s">
        <v>10</v>
      </c>
      <c r="C146">
        <f>EXP(VLOOKUP(B146,'Hasenauer-Variabelen'!$A$1:$D$12,3,FALSE)+VLOOKUP(B146,'Hasenauer-Variabelen'!$A$1:D159,4,FALSE)*LN(A146))</f>
        <v>8.324274404445795</v>
      </c>
      <c r="D146" t="s">
        <v>29</v>
      </c>
    </row>
    <row r="147" spans="1:4">
      <c r="A147">
        <v>30</v>
      </c>
      <c r="B147" s="1" t="s">
        <v>10</v>
      </c>
      <c r="C147">
        <f>EXP(VLOOKUP(B147,'Hasenauer-Variabelen'!$A$1:$D$12,3,FALSE)+VLOOKUP(B147,'Hasenauer-Variabelen'!$A$1:D160,4,FALSE)*LN(A147))</f>
        <v>9.1662917595371667</v>
      </c>
      <c r="D147" t="s">
        <v>29</v>
      </c>
    </row>
    <row r="148" spans="1:4">
      <c r="A148">
        <v>35</v>
      </c>
      <c r="B148" s="1" t="s">
        <v>10</v>
      </c>
      <c r="C148">
        <f>EXP(VLOOKUP(B148,'Hasenauer-Variabelen'!$A$1:$D$12,3,FALSE)+VLOOKUP(B148,'Hasenauer-Variabelen'!$A$1:D161,4,FALSE)*LN(A148))</f>
        <v>9.9443191706173497</v>
      </c>
      <c r="D148" t="s">
        <v>29</v>
      </c>
    </row>
    <row r="149" spans="1:4">
      <c r="A149">
        <v>40</v>
      </c>
      <c r="B149" s="1" t="s">
        <v>10</v>
      </c>
      <c r="C149">
        <f>EXP(VLOOKUP(B149,'Hasenauer-Variabelen'!$A$1:$D$12,3,FALSE)+VLOOKUP(B149,'Hasenauer-Variabelen'!$A$1:D162,4,FALSE)*LN(A149))</f>
        <v>10.671458968137152</v>
      </c>
      <c r="D149" t="s">
        <v>29</v>
      </c>
    </row>
    <row r="150" spans="1:4">
      <c r="A150">
        <v>45</v>
      </c>
      <c r="B150" s="1" t="s">
        <v>10</v>
      </c>
      <c r="C150">
        <f>EXP(VLOOKUP(B150,'Hasenauer-Variabelen'!$A$1:$D$12,3,FALSE)+VLOOKUP(B150,'Hasenauer-Variabelen'!$A$1:D163,4,FALSE)*LN(A150))</f>
        <v>11.356850451260261</v>
      </c>
      <c r="D150" t="s">
        <v>29</v>
      </c>
    </row>
    <row r="151" spans="1:4">
      <c r="A151">
        <v>50</v>
      </c>
      <c r="B151" s="1" t="s">
        <v>10</v>
      </c>
      <c r="C151">
        <f>EXP(VLOOKUP(B151,'Hasenauer-Variabelen'!$A$1:$D$12,3,FALSE)+VLOOKUP(B151,'Hasenauer-Variabelen'!$A$1:D164,4,FALSE)*LN(A151))</f>
        <v>12.007172245495028</v>
      </c>
      <c r="D151" t="s">
        <v>29</v>
      </c>
    </row>
    <row r="152" spans="1:4">
      <c r="A152">
        <v>55</v>
      </c>
      <c r="B152" s="1" t="s">
        <v>10</v>
      </c>
      <c r="C152">
        <f>EXP(VLOOKUP(B152,'Hasenauer-Variabelen'!$A$1:$D$12,3,FALSE)+VLOOKUP(B152,'Hasenauer-Variabelen'!$A$1:D165,4,FALSE)*LN(A152))</f>
        <v>12.627482486115278</v>
      </c>
      <c r="D152" t="s">
        <v>29</v>
      </c>
    </row>
    <row r="153" spans="1:4">
      <c r="A153">
        <v>60</v>
      </c>
      <c r="B153" s="1" t="s">
        <v>10</v>
      </c>
      <c r="C153">
        <f>EXP(VLOOKUP(B153,'Hasenauer-Variabelen'!$A$1:$D$12,3,FALSE)+VLOOKUP(B153,'Hasenauer-Variabelen'!$A$1:D166,4,FALSE)*LN(A153))</f>
        <v>13.221722238090011</v>
      </c>
      <c r="D153" t="s">
        <v>29</v>
      </c>
    </row>
    <row r="154" spans="1:4">
      <c r="A154">
        <v>65</v>
      </c>
      <c r="B154" s="1" t="s">
        <v>10</v>
      </c>
      <c r="C154">
        <f>EXP(VLOOKUP(B154,'Hasenauer-Variabelen'!$A$1:$D$12,3,FALSE)+VLOOKUP(B154,'Hasenauer-Variabelen'!$A$1:D167,4,FALSE)*LN(A154))</f>
        <v>13.793033862497406</v>
      </c>
      <c r="D154" t="s">
        <v>29</v>
      </c>
    </row>
    <row r="155" spans="1:4">
      <c r="A155">
        <v>70</v>
      </c>
      <c r="B155" s="1" t="s">
        <v>10</v>
      </c>
      <c r="C155">
        <f>EXP(VLOOKUP(B155,'Hasenauer-Variabelen'!$A$1:$D$12,3,FALSE)+VLOOKUP(B155,'Hasenauer-Variabelen'!$A$1:D168,4,FALSE)*LN(A155))</f>
        <v>14.343971299409647</v>
      </c>
      <c r="D155" t="s">
        <v>29</v>
      </c>
    </row>
    <row r="156" spans="1:4">
      <c r="A156">
        <v>75</v>
      </c>
      <c r="B156" s="1" t="s">
        <v>10</v>
      </c>
      <c r="C156">
        <f>EXP(VLOOKUP(B156,'Hasenauer-Variabelen'!$A$1:$D$12,3,FALSE)+VLOOKUP(B156,'Hasenauer-Variabelen'!$A$1:D169,4,FALSE)*LN(A156))</f>
        <v>14.876644024856491</v>
      </c>
      <c r="D156" t="s">
        <v>29</v>
      </c>
    </row>
    <row r="157" spans="1:4">
      <c r="A157">
        <v>80</v>
      </c>
      <c r="B157" s="1" t="s">
        <v>10</v>
      </c>
      <c r="C157">
        <f>EXP(VLOOKUP(B157,'Hasenauer-Variabelen'!$A$1:$D$12,3,FALSE)+VLOOKUP(B157,'Hasenauer-Variabelen'!$A$1:D170,4,FALSE)*LN(A157))</f>
        <v>15.392818606835222</v>
      </c>
      <c r="D157" t="s">
        <v>29</v>
      </c>
    </row>
    <row r="158" spans="1:4">
      <c r="A158">
        <v>85</v>
      </c>
      <c r="B158" s="1" t="s">
        <v>10</v>
      </c>
      <c r="C158">
        <f>EXP(VLOOKUP(B158,'Hasenauer-Variabelen'!$A$1:$D$12,3,FALSE)+VLOOKUP(B158,'Hasenauer-Variabelen'!$A$1:D171,4,FALSE)*LN(A158))</f>
        <v>15.893992204585286</v>
      </c>
      <c r="D158" t="s">
        <v>29</v>
      </c>
    </row>
    <row r="159" spans="1:4">
      <c r="A159">
        <v>90</v>
      </c>
      <c r="B159" s="1" t="s">
        <v>10</v>
      </c>
      <c r="C159">
        <f>EXP(VLOOKUP(B159,'Hasenauer-Variabelen'!$A$1:$D$12,3,FALSE)+VLOOKUP(B159,'Hasenauer-Variabelen'!$A$1:D172,4,FALSE)*LN(A159))</f>
        <v>16.381446947710106</v>
      </c>
      <c r="D159" t="s">
        <v>29</v>
      </c>
    </row>
    <row r="160" spans="1:4">
      <c r="A160">
        <v>95</v>
      </c>
      <c r="B160" s="1" t="s">
        <v>10</v>
      </c>
      <c r="C160">
        <f>EXP(VLOOKUP(B160,'Hasenauer-Variabelen'!$A$1:$D$12,3,FALSE)+VLOOKUP(B160,'Hasenauer-Variabelen'!$A$1:D173,4,FALSE)*LN(A160))</f>
        <v>16.856290949021854</v>
      </c>
      <c r="D160" t="s">
        <v>29</v>
      </c>
    </row>
    <row r="161" spans="1:4">
      <c r="A161">
        <v>100</v>
      </c>
      <c r="B161" s="1" t="s">
        <v>10</v>
      </c>
      <c r="C161">
        <f>EXP(VLOOKUP(B161,'Hasenauer-Variabelen'!$A$1:$D$12,3,FALSE)+VLOOKUP(B161,'Hasenauer-Variabelen'!$A$1:D174,4,FALSE)*LN(A161))</f>
        <v>17.319489763094218</v>
      </c>
      <c r="D161" t="s">
        <v>29</v>
      </c>
    </row>
    <row r="162" spans="1:4">
      <c r="A162">
        <v>5</v>
      </c>
      <c r="B162" s="1" t="s">
        <v>11</v>
      </c>
      <c r="C162">
        <f>EXP(VLOOKUP(B162,'Hasenauer-Variabelen'!$A$1:$D$12,3,FALSE)+VLOOKUP(B162,'Hasenauer-Variabelen'!$A$1:D175,4,FALSE)*LN(A162))</f>
        <v>3.1009715364848169</v>
      </c>
      <c r="D162" t="s">
        <v>29</v>
      </c>
    </row>
    <row r="163" spans="1:4">
      <c r="A163">
        <v>10</v>
      </c>
      <c r="B163" s="1" t="s">
        <v>11</v>
      </c>
      <c r="C163">
        <f>EXP(VLOOKUP(B163,'Hasenauer-Variabelen'!$A$1:$D$12,3,FALSE)+VLOOKUP(B163,'Hasenauer-Variabelen'!$A$1:D176,4,FALSE)*LN(A163))</f>
        <v>4.7601937109747592</v>
      </c>
      <c r="D163" t="s">
        <v>29</v>
      </c>
    </row>
    <row r="164" spans="1:4">
      <c r="A164">
        <v>15</v>
      </c>
      <c r="B164" s="1" t="s">
        <v>11</v>
      </c>
      <c r="C164">
        <f>EXP(VLOOKUP(B164,'Hasenauer-Variabelen'!$A$1:$D$12,3,FALSE)+VLOOKUP(B164,'Hasenauer-Variabelen'!$A$1:D177,4,FALSE)*LN(A164))</f>
        <v>6.11648410835459</v>
      </c>
      <c r="D164" t="s">
        <v>29</v>
      </c>
    </row>
    <row r="165" spans="1:4">
      <c r="A165">
        <v>20</v>
      </c>
      <c r="B165" s="1" t="s">
        <v>11</v>
      </c>
      <c r="C165">
        <f>EXP(VLOOKUP(B165,'Hasenauer-Variabelen'!$A$1:$D$12,3,FALSE)+VLOOKUP(B165,'Hasenauer-Variabelen'!$A$1:D178,4,FALSE)*LN(A165))</f>
        <v>7.3072080473495138</v>
      </c>
      <c r="D165" t="s">
        <v>29</v>
      </c>
    </row>
    <row r="166" spans="1:4">
      <c r="A166">
        <v>25</v>
      </c>
      <c r="B166" s="1" t="s">
        <v>11</v>
      </c>
      <c r="C166">
        <f>EXP(VLOOKUP(B166,'Hasenauer-Variabelen'!$A$1:$D$12,3,FALSE)+VLOOKUP(B166,'Hasenauer-Variabelen'!$A$1:D179,4,FALSE)*LN(A166))</f>
        <v>8.3882416573684875</v>
      </c>
      <c r="D166" t="s">
        <v>29</v>
      </c>
    </row>
    <row r="167" spans="1:4">
      <c r="A167">
        <v>30</v>
      </c>
      <c r="B167" s="1" t="s">
        <v>11</v>
      </c>
      <c r="C167">
        <f>EXP(VLOOKUP(B167,'Hasenauer-Variabelen'!$A$1:$D$12,3,FALSE)+VLOOKUP(B167,'Hasenauer-Variabelen'!$A$1:D180,4,FALSE)*LN(A167))</f>
        <v>9.3892023333020749</v>
      </c>
      <c r="D167" t="s">
        <v>29</v>
      </c>
    </row>
    <row r="168" spans="1:4">
      <c r="A168">
        <v>35</v>
      </c>
      <c r="B168" s="1" t="s">
        <v>11</v>
      </c>
      <c r="C168">
        <f>EXP(VLOOKUP(B168,'Hasenauer-Variabelen'!$A$1:$D$12,3,FALSE)+VLOOKUP(B168,'Hasenauer-Variabelen'!$A$1:D181,4,FALSE)*LN(A168))</f>
        <v>10.32813481096832</v>
      </c>
      <c r="D168" t="s">
        <v>29</v>
      </c>
    </row>
    <row r="169" spans="1:4">
      <c r="A169">
        <v>40</v>
      </c>
      <c r="B169" s="1" t="s">
        <v>11</v>
      </c>
      <c r="C169">
        <f>EXP(VLOOKUP(B169,'Hasenauer-Variabelen'!$A$1:$D$12,3,FALSE)+VLOOKUP(B169,'Hasenauer-Variabelen'!$A$1:D182,4,FALSE)*LN(A169))</f>
        <v>11.217041299001165</v>
      </c>
      <c r="D169" t="s">
        <v>29</v>
      </c>
    </row>
    <row r="170" spans="1:4">
      <c r="A170">
        <v>45</v>
      </c>
      <c r="B170" s="1" t="s">
        <v>11</v>
      </c>
      <c r="C170">
        <f>EXP(VLOOKUP(B170,'Hasenauer-Variabelen'!$A$1:$D$12,3,FALSE)+VLOOKUP(B170,'Hasenauer-Variabelen'!$A$1:D183,4,FALSE)*LN(A170))</f>
        <v>12.064405431519319</v>
      </c>
      <c r="D170" t="s">
        <v>29</v>
      </c>
    </row>
    <row r="171" spans="1:4">
      <c r="A171">
        <v>50</v>
      </c>
      <c r="B171" s="1" t="s">
        <v>11</v>
      </c>
      <c r="C171">
        <f>EXP(VLOOKUP(B171,'Hasenauer-Variabelen'!$A$1:$D$12,3,FALSE)+VLOOKUP(B171,'Hasenauer-Variabelen'!$A$1:D184,4,FALSE)*LN(A171))</f>
        <v>12.876498450161597</v>
      </c>
      <c r="D171" t="s">
        <v>29</v>
      </c>
    </row>
    <row r="172" spans="1:4">
      <c r="A172">
        <v>55</v>
      </c>
      <c r="B172" s="1" t="s">
        <v>11</v>
      </c>
      <c r="C172">
        <f>EXP(VLOOKUP(B172,'Hasenauer-Variabelen'!$A$1:$D$12,3,FALSE)+VLOOKUP(B172,'Hasenauer-Variabelen'!$A$1:D185,4,FALSE)*LN(A172))</f>
        <v>13.658118523140516</v>
      </c>
      <c r="D172" t="s">
        <v>29</v>
      </c>
    </row>
    <row r="173" spans="1:4">
      <c r="A173">
        <v>60</v>
      </c>
      <c r="B173" s="1" t="s">
        <v>11</v>
      </c>
      <c r="C173">
        <f>EXP(VLOOKUP(B173,'Hasenauer-Variabelen'!$A$1:$D$12,3,FALSE)+VLOOKUP(B173,'Hasenauer-Variabelen'!$A$1:D186,4,FALSE)*LN(A173))</f>
        <v>14.413038421087387</v>
      </c>
      <c r="D173" t="s">
        <v>29</v>
      </c>
    </row>
    <row r="174" spans="1:4">
      <c r="A174">
        <v>65</v>
      </c>
      <c r="B174" s="1" t="s">
        <v>11</v>
      </c>
      <c r="C174">
        <f>EXP(VLOOKUP(B174,'Hasenauer-Variabelen'!$A$1:$D$12,3,FALSE)+VLOOKUP(B174,'Hasenauer-Variabelen'!$A$1:D187,4,FALSE)*LN(A174))</f>
        <v>15.144291298693325</v>
      </c>
      <c r="D174" t="s">
        <v>29</v>
      </c>
    </row>
    <row r="175" spans="1:4">
      <c r="A175">
        <v>70</v>
      </c>
      <c r="B175" s="1" t="s">
        <v>11</v>
      </c>
      <c r="C175">
        <f>EXP(VLOOKUP(B175,'Hasenauer-Variabelen'!$A$1:$D$12,3,FALSE)+VLOOKUP(B175,'Hasenauer-Variabelen'!$A$1:D188,4,FALSE)*LN(A175))</f>
        <v>15.854361059051147</v>
      </c>
      <c r="D175" t="s">
        <v>29</v>
      </c>
    </row>
    <row r="176" spans="1:4">
      <c r="A176">
        <v>75</v>
      </c>
      <c r="B176" s="1" t="s">
        <v>11</v>
      </c>
      <c r="C176">
        <f>EXP(VLOOKUP(B176,'Hasenauer-Variabelen'!$A$1:$D$12,3,FALSE)+VLOOKUP(B176,'Hasenauer-Variabelen'!$A$1:D189,4,FALSE)*LN(A176))</f>
        <v>16.545313683366516</v>
      </c>
      <c r="D176" t="s">
        <v>29</v>
      </c>
    </row>
    <row r="177" spans="1:4">
      <c r="A177">
        <v>80</v>
      </c>
      <c r="B177" s="1" t="s">
        <v>11</v>
      </c>
      <c r="C177">
        <f>EXP(VLOOKUP(B177,'Hasenauer-Variabelen'!$A$1:$D$12,3,FALSE)+VLOOKUP(B177,'Hasenauer-Variabelen'!$A$1:D190,4,FALSE)*LN(A177))</f>
        <v>17.218890537698073</v>
      </c>
      <c r="D177" t="s">
        <v>29</v>
      </c>
    </row>
    <row r="178" spans="1:4">
      <c r="A178">
        <v>85</v>
      </c>
      <c r="B178" s="1" t="s">
        <v>11</v>
      </c>
      <c r="C178">
        <f>EXP(VLOOKUP(B178,'Hasenauer-Variabelen'!$A$1:$D$12,3,FALSE)+VLOOKUP(B178,'Hasenauer-Variabelen'!$A$1:D191,4,FALSE)*LN(A178))</f>
        <v>17.876576346131245</v>
      </c>
      <c r="D178" t="s">
        <v>29</v>
      </c>
    </row>
    <row r="179" spans="1:4">
      <c r="A179">
        <v>90</v>
      </c>
      <c r="B179" s="1" t="s">
        <v>11</v>
      </c>
      <c r="C179">
        <f>EXP(VLOOKUP(B179,'Hasenauer-Variabelen'!$A$1:$D$12,3,FALSE)+VLOOKUP(B179,'Hasenauer-Variabelen'!$A$1:D192,4,FALSE)*LN(A179))</f>
        <v>18.519649789132842</v>
      </c>
      <c r="D179" t="s">
        <v>29</v>
      </c>
    </row>
    <row r="180" spans="1:4">
      <c r="A180">
        <v>95</v>
      </c>
      <c r="B180" s="1" t="s">
        <v>11</v>
      </c>
      <c r="C180">
        <f>EXP(VLOOKUP(B180,'Hasenauer-Variabelen'!$A$1:$D$12,3,FALSE)+VLOOKUP(B180,'Hasenauer-Variabelen'!$A$1:D193,4,FALSE)*LN(A180))</f>
        <v>19.149221883325644</v>
      </c>
      <c r="D180" t="s">
        <v>29</v>
      </c>
    </row>
    <row r="181" spans="1:4">
      <c r="A181">
        <v>100</v>
      </c>
      <c r="B181" s="1" t="s">
        <v>11</v>
      </c>
      <c r="C181">
        <f>EXP(VLOOKUP(B181,'Hasenauer-Variabelen'!$A$1:$D$12,3,FALSE)+VLOOKUP(B181,'Hasenauer-Variabelen'!$A$1:D194,4,FALSE)*LN(A181))</f>
        <v>19.766265578599121</v>
      </c>
      <c r="D181" t="s">
        <v>29</v>
      </c>
    </row>
    <row r="182" spans="1:4">
      <c r="A182">
        <v>5</v>
      </c>
      <c r="B182" s="1" t="s">
        <v>12</v>
      </c>
      <c r="C182">
        <f>EXP(VLOOKUP(B182,'Hasenauer-Variabelen'!$A$1:$D$12,3,FALSE)+VLOOKUP(B182,'Hasenauer-Variabelen'!$A$1:D195,4,FALSE)*LN(A182))</f>
        <v>2.9744126097244878</v>
      </c>
      <c r="D182" t="s">
        <v>29</v>
      </c>
    </row>
    <row r="183" spans="1:4">
      <c r="A183">
        <v>10</v>
      </c>
      <c r="B183" s="1" t="s">
        <v>12</v>
      </c>
      <c r="C183">
        <f>EXP(VLOOKUP(B183,'Hasenauer-Variabelen'!$A$1:$D$12,3,FALSE)+VLOOKUP(B183,'Hasenauer-Variabelen'!$A$1:D196,4,FALSE)*LN(A183))</f>
        <v>4.4048863339346322</v>
      </c>
      <c r="D183" t="s">
        <v>29</v>
      </c>
    </row>
    <row r="184" spans="1:4">
      <c r="A184">
        <v>15</v>
      </c>
      <c r="B184" s="1" t="s">
        <v>12</v>
      </c>
      <c r="C184">
        <f>EXP(VLOOKUP(B184,'Hasenauer-Variabelen'!$A$1:$D$12,3,FALSE)+VLOOKUP(B184,'Hasenauer-Variabelen'!$A$1:D197,4,FALSE)*LN(A184))</f>
        <v>5.5423047767243334</v>
      </c>
      <c r="D184" t="s">
        <v>29</v>
      </c>
    </row>
    <row r="185" spans="1:4">
      <c r="A185">
        <v>20</v>
      </c>
      <c r="B185" s="1" t="s">
        <v>12</v>
      </c>
      <c r="C185">
        <f>EXP(VLOOKUP(B185,'Hasenauer-Variabelen'!$A$1:$D$12,3,FALSE)+VLOOKUP(B185,'Hasenauer-Variabelen'!$A$1:D198,4,FALSE)*LN(A185))</f>
        <v>6.5233127211228892</v>
      </c>
      <c r="D185" t="s">
        <v>29</v>
      </c>
    </row>
    <row r="186" spans="1:4">
      <c r="A186">
        <v>25</v>
      </c>
      <c r="B186" s="1" t="s">
        <v>12</v>
      </c>
      <c r="C186">
        <f>EXP(VLOOKUP(B186,'Hasenauer-Variabelen'!$A$1:$D$12,3,FALSE)+VLOOKUP(B186,'Hasenauer-Variabelen'!$A$1:D199,4,FALSE)*LN(A186))</f>
        <v>7.4023177067563646</v>
      </c>
      <c r="D186" t="s">
        <v>29</v>
      </c>
    </row>
    <row r="187" spans="1:4">
      <c r="A187">
        <v>30</v>
      </c>
      <c r="B187" s="1" t="s">
        <v>12</v>
      </c>
      <c r="C187">
        <f>EXP(VLOOKUP(B187,'Hasenauer-Variabelen'!$A$1:$D$12,3,FALSE)+VLOOKUP(B187,'Hasenauer-Variabelen'!$A$1:D200,4,FALSE)*LN(A187))</f>
        <v>8.2077457880851927</v>
      </c>
      <c r="D187" t="s">
        <v>29</v>
      </c>
    </row>
    <row r="188" spans="1:4">
      <c r="A188">
        <v>35</v>
      </c>
      <c r="B188" s="1" t="s">
        <v>12</v>
      </c>
      <c r="C188">
        <f>EXP(VLOOKUP(B188,'Hasenauer-Variabelen'!$A$1:$D$12,3,FALSE)+VLOOKUP(B188,'Hasenauer-Variabelen'!$A$1:D201,4,FALSE)*LN(A188))</f>
        <v>8.9567252692039858</v>
      </c>
      <c r="D188" t="s">
        <v>29</v>
      </c>
    </row>
    <row r="189" spans="1:4">
      <c r="A189">
        <v>40</v>
      </c>
      <c r="B189" s="1" t="s">
        <v>12</v>
      </c>
      <c r="C189">
        <f>EXP(VLOOKUP(B189,'Hasenauer-Variabelen'!$A$1:$D$12,3,FALSE)+VLOOKUP(B189,'Hasenauer-Variabelen'!$A$1:D202,4,FALSE)*LN(A189))</f>
        <v>9.6605464095036115</v>
      </c>
      <c r="D189" t="s">
        <v>29</v>
      </c>
    </row>
    <row r="190" spans="1:4">
      <c r="A190">
        <v>45</v>
      </c>
      <c r="B190" s="1" t="s">
        <v>12</v>
      </c>
      <c r="C190">
        <f>EXP(VLOOKUP(B190,'Hasenauer-Variabelen'!$A$1:$D$12,3,FALSE)+VLOOKUP(B190,'Hasenauer-Variabelen'!$A$1:D203,4,FALSE)*LN(A190))</f>
        <v>10.327128838035225</v>
      </c>
      <c r="D190" t="s">
        <v>29</v>
      </c>
    </row>
    <row r="191" spans="1:4">
      <c r="A191">
        <v>50</v>
      </c>
      <c r="B191" s="1" t="s">
        <v>12</v>
      </c>
      <c r="C191">
        <f>EXP(VLOOKUP(B191,'Hasenauer-Variabelen'!$A$1:$D$12,3,FALSE)+VLOOKUP(B191,'Hasenauer-Variabelen'!$A$1:D204,4,FALSE)*LN(A191))</f>
        <v>10.962288150383314</v>
      </c>
      <c r="D191" t="s">
        <v>29</v>
      </c>
    </row>
    <row r="192" spans="1:4">
      <c r="A192">
        <v>55</v>
      </c>
      <c r="B192" s="1" t="s">
        <v>12</v>
      </c>
      <c r="C192">
        <f>EXP(VLOOKUP(B192,'Hasenauer-Variabelen'!$A$1:$D$12,3,FALSE)+VLOOKUP(B192,'Hasenauer-Variabelen'!$A$1:D205,4,FALSE)*LN(A192))</f>
        <v>11.570447862872948</v>
      </c>
      <c r="D192" t="s">
        <v>29</v>
      </c>
    </row>
    <row r="193" spans="1:4">
      <c r="A193">
        <v>60</v>
      </c>
      <c r="B193" s="1" t="s">
        <v>12</v>
      </c>
      <c r="C193">
        <f>EXP(VLOOKUP(B193,'Hasenauer-Variabelen'!$A$1:$D$12,3,FALSE)+VLOOKUP(B193,'Hasenauer-Variabelen'!$A$1:D206,4,FALSE)*LN(A193))</f>
        <v>12.155067906901751</v>
      </c>
      <c r="D193" t="s">
        <v>29</v>
      </c>
    </row>
    <row r="194" spans="1:4">
      <c r="A194">
        <v>65</v>
      </c>
      <c r="B194" s="1" t="s">
        <v>12</v>
      </c>
      <c r="C194">
        <f>EXP(VLOOKUP(B194,'Hasenauer-Variabelen'!$A$1:$D$12,3,FALSE)+VLOOKUP(B194,'Hasenauer-Variabelen'!$A$1:D207,4,FALSE)*LN(A194))</f>
        <v>12.718916689888392</v>
      </c>
      <c r="D194" t="s">
        <v>29</v>
      </c>
    </row>
    <row r="195" spans="1:4">
      <c r="A195">
        <v>70</v>
      </c>
      <c r="B195" s="1" t="s">
        <v>12</v>
      </c>
      <c r="C195">
        <f>EXP(VLOOKUP(B195,'Hasenauer-Variabelen'!$A$1:$D$12,3,FALSE)+VLOOKUP(B195,'Hasenauer-Variabelen'!$A$1:D208,4,FALSE)*LN(A195))</f>
        <v>13.264251437791648</v>
      </c>
      <c r="D195" t="s">
        <v>29</v>
      </c>
    </row>
    <row r="196" spans="1:4">
      <c r="A196">
        <v>75</v>
      </c>
      <c r="B196" s="1" t="s">
        <v>12</v>
      </c>
      <c r="C196">
        <f>EXP(VLOOKUP(B196,'Hasenauer-Variabelen'!$A$1:$D$12,3,FALSE)+VLOOKUP(B196,'Hasenauer-Variabelen'!$A$1:D209,4,FALSE)*LN(A196))</f>
        <v>13.792942058831256</v>
      </c>
      <c r="D196" t="s">
        <v>29</v>
      </c>
    </row>
    <row r="197" spans="1:4">
      <c r="A197">
        <v>80</v>
      </c>
      <c r="B197" s="1" t="s">
        <v>12</v>
      </c>
      <c r="C197">
        <f>EXP(VLOOKUP(B197,'Hasenauer-Variabelen'!$A$1:$D$12,3,FALSE)+VLOOKUP(B197,'Hasenauer-Variabelen'!$A$1:D210,4,FALSE)*LN(A197))</f>
        <v>14.306558786914689</v>
      </c>
      <c r="D197" t="s">
        <v>29</v>
      </c>
    </row>
    <row r="198" spans="1:4">
      <c r="A198">
        <v>85</v>
      </c>
      <c r="B198" s="1" t="s">
        <v>12</v>
      </c>
      <c r="C198">
        <f>EXP(VLOOKUP(B198,'Hasenauer-Variabelen'!$A$1:$D$12,3,FALSE)+VLOOKUP(B198,'Hasenauer-Variabelen'!$A$1:D211,4,FALSE)*LN(A198))</f>
        <v>14.80643578816658</v>
      </c>
      <c r="D198" t="s">
        <v>29</v>
      </c>
    </row>
    <row r="199" spans="1:4">
      <c r="A199">
        <v>90</v>
      </c>
      <c r="B199" s="1" t="s">
        <v>12</v>
      </c>
      <c r="C199">
        <f>EXP(VLOOKUP(B199,'Hasenauer-Variabelen'!$A$1:$D$12,3,FALSE)+VLOOKUP(B199,'Hasenauer-Variabelen'!$A$1:D212,4,FALSE)*LN(A199))</f>
        <v>15.29371834247879</v>
      </c>
      <c r="D199" t="s">
        <v>29</v>
      </c>
    </row>
    <row r="200" spans="1:4">
      <c r="A200">
        <v>95</v>
      </c>
      <c r="B200" s="1" t="s">
        <v>12</v>
      </c>
      <c r="C200">
        <f>EXP(VLOOKUP(B200,'Hasenauer-Variabelen'!$A$1:$D$12,3,FALSE)+VLOOKUP(B200,'Hasenauer-Variabelen'!$A$1:D213,4,FALSE)*LN(A200))</f>
        <v>15.769398513972275</v>
      </c>
      <c r="D200" t="s">
        <v>29</v>
      </c>
    </row>
    <row r="201" spans="1:4">
      <c r="A201">
        <v>100</v>
      </c>
      <c r="B201" s="1" t="s">
        <v>12</v>
      </c>
      <c r="C201">
        <f>EXP(VLOOKUP(B201,'Hasenauer-Variabelen'!$A$1:$D$12,3,FALSE)+VLOOKUP(B201,'Hasenauer-Variabelen'!$A$1:D214,4,FALSE)*LN(A201))</f>
        <v>16.234342573860257</v>
      </c>
      <c r="D201" t="s">
        <v>29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>
      <selection activeCell="A2" sqref="A2:A12"/>
    </sheetView>
  </sheetViews>
  <sheetFormatPr baseColWidth="10" defaultRowHeight="15" x14ac:dyDescent="0"/>
  <sheetData>
    <row r="1" spans="1:4">
      <c r="A1" t="s">
        <v>14</v>
      </c>
      <c r="C1" t="s">
        <v>15</v>
      </c>
      <c r="D1" t="s">
        <v>16</v>
      </c>
    </row>
    <row r="2" spans="1:4">
      <c r="A2" t="s">
        <v>5</v>
      </c>
      <c r="B2" t="s">
        <v>17</v>
      </c>
      <c r="C2">
        <v>-0.32319999999999999</v>
      </c>
      <c r="D2">
        <v>0.64410000000000001</v>
      </c>
    </row>
    <row r="3" spans="1:4">
      <c r="A3" t="s">
        <v>6</v>
      </c>
      <c r="B3" t="s">
        <v>19</v>
      </c>
      <c r="C3">
        <v>9.1999999999999998E-2</v>
      </c>
      <c r="D3">
        <v>0.53800000000000003</v>
      </c>
    </row>
    <row r="4" spans="1:4">
      <c r="A4" t="s">
        <v>7</v>
      </c>
      <c r="B4" t="s">
        <v>18</v>
      </c>
      <c r="C4">
        <v>-0.33960000000000001</v>
      </c>
      <c r="D4">
        <v>0.68230000000000002</v>
      </c>
    </row>
    <row r="5" spans="1:4">
      <c r="A5" t="s">
        <v>4</v>
      </c>
      <c r="B5" t="s">
        <v>20</v>
      </c>
      <c r="C5">
        <v>-0.1797</v>
      </c>
      <c r="D5">
        <v>0.62670000000000003</v>
      </c>
    </row>
    <row r="6" spans="1:4">
      <c r="A6" t="s">
        <v>8</v>
      </c>
      <c r="B6" t="s">
        <v>22</v>
      </c>
      <c r="C6">
        <v>-0.157</v>
      </c>
      <c r="D6">
        <v>0.63100000000000001</v>
      </c>
    </row>
    <row r="7" spans="1:4">
      <c r="A7" t="s">
        <v>13</v>
      </c>
      <c r="B7" t="s">
        <v>21</v>
      </c>
      <c r="C7">
        <v>-1.3153999999999999</v>
      </c>
      <c r="D7">
        <v>0.82879999999999998</v>
      </c>
    </row>
    <row r="8" spans="1:4">
      <c r="A8" t="s">
        <v>9</v>
      </c>
      <c r="B8" t="s">
        <v>23</v>
      </c>
      <c r="C8">
        <v>0.26619999999999999</v>
      </c>
      <c r="D8">
        <v>0.60719999999999996</v>
      </c>
    </row>
    <row r="9" spans="1:4">
      <c r="A9" t="s">
        <v>0</v>
      </c>
      <c r="B9" t="s">
        <v>24</v>
      </c>
      <c r="C9">
        <v>-0.39729999999999999</v>
      </c>
      <c r="D9">
        <v>0.73280000000000001</v>
      </c>
    </row>
    <row r="10" spans="1:4">
      <c r="A10" t="s">
        <v>10</v>
      </c>
      <c r="B10" t="s">
        <v>25</v>
      </c>
      <c r="C10">
        <v>0.41799999999999998</v>
      </c>
      <c r="D10">
        <v>0.52849999999999997</v>
      </c>
    </row>
    <row r="11" spans="1:4">
      <c r="A11" t="s">
        <v>11</v>
      </c>
      <c r="B11" t="s">
        <v>26</v>
      </c>
      <c r="C11">
        <v>0.1366</v>
      </c>
      <c r="D11">
        <v>0.61829999999999996</v>
      </c>
    </row>
    <row r="12" spans="1:4">
      <c r="A12" t="s">
        <v>12</v>
      </c>
      <c r="B12" t="s">
        <v>27</v>
      </c>
      <c r="C12">
        <v>0.17829999999999999</v>
      </c>
      <c r="D12">
        <v>0.5665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25"/>
  <sheetViews>
    <sheetView topLeftCell="A3" workbookViewId="0">
      <selection activeCell="F6" sqref="F6:F25"/>
    </sheetView>
  </sheetViews>
  <sheetFormatPr baseColWidth="10" defaultRowHeight="15" x14ac:dyDescent="0"/>
  <sheetData>
    <row r="3" spans="1:8">
      <c r="C3">
        <f>EXP(-1.119+1.918*LN(30))</f>
        <v>222.40422912112246</v>
      </c>
    </row>
    <row r="4" spans="1:8">
      <c r="C4" t="s">
        <v>30</v>
      </c>
      <c r="D4" t="s">
        <v>30</v>
      </c>
      <c r="E4" t="s">
        <v>31</v>
      </c>
      <c r="F4" t="s">
        <v>31</v>
      </c>
    </row>
    <row r="5" spans="1:8">
      <c r="A5" t="s">
        <v>1</v>
      </c>
      <c r="B5" t="s">
        <v>32</v>
      </c>
      <c r="C5" t="s">
        <v>11</v>
      </c>
      <c r="D5" t="s">
        <v>10</v>
      </c>
      <c r="E5" t="s">
        <v>11</v>
      </c>
      <c r="F5" t="s">
        <v>10</v>
      </c>
    </row>
    <row r="6" spans="1:8">
      <c r="A6">
        <v>5</v>
      </c>
      <c r="B6">
        <v>5</v>
      </c>
      <c r="C6" s="2">
        <f>0.203*A6+0.698*-0.022*B6</f>
        <v>0.93822000000000016</v>
      </c>
      <c r="D6" s="2">
        <f>0.183*A6+0.785*-0.016*B6</f>
        <v>0.85220000000000007</v>
      </c>
      <c r="E6" s="2">
        <f>EXP(-1.119+0.918*LN(A6))</f>
        <v>1.4311295157112067</v>
      </c>
      <c r="F6" s="2">
        <f>EXP(-0.844+0.826*LN(A6))</f>
        <v>1.6248178475292541</v>
      </c>
      <c r="G6" s="2">
        <f>E6-C6</f>
        <v>0.49290951571120656</v>
      </c>
      <c r="H6" s="2">
        <f>F6-D6</f>
        <v>0.772617847529254</v>
      </c>
    </row>
    <row r="7" spans="1:8">
      <c r="A7">
        <v>10</v>
      </c>
      <c r="B7">
        <v>10</v>
      </c>
      <c r="C7" s="2">
        <f t="shared" ref="C7:C24" si="0">0.203*A7+0.698*-0.022*B7</f>
        <v>1.8764400000000003</v>
      </c>
      <c r="D7" s="2">
        <f t="shared" ref="D7:D22" si="1">0.183*A7+0.785*-0.016*B7</f>
        <v>1.7044000000000001</v>
      </c>
      <c r="E7" s="2">
        <f t="shared" ref="E7:E25" si="2">EXP(-1.119+0.918*LN(A7))</f>
        <v>2.7041107505038555</v>
      </c>
      <c r="F7" s="2">
        <f t="shared" ref="F7:F25" si="3">EXP(-0.844+0.826*LN(A7))</f>
        <v>2.8804176091502547</v>
      </c>
      <c r="G7" s="2">
        <f t="shared" ref="G7:G25" si="4">E7-C7</f>
        <v>0.82767075050385519</v>
      </c>
      <c r="H7" s="2">
        <f t="shared" ref="H7:H25" si="5">F7-D7</f>
        <v>1.1760176091502546</v>
      </c>
    </row>
    <row r="8" spans="1:8">
      <c r="A8">
        <v>15</v>
      </c>
      <c r="B8">
        <v>15</v>
      </c>
      <c r="C8" s="2">
        <f t="shared" si="0"/>
        <v>2.8146600000000004</v>
      </c>
      <c r="D8" s="2">
        <f t="shared" si="1"/>
        <v>2.5566</v>
      </c>
      <c r="E8" s="2">
        <f t="shared" si="2"/>
        <v>3.9235234313156955</v>
      </c>
      <c r="F8" s="2">
        <f t="shared" si="3"/>
        <v>4.0263065468524371</v>
      </c>
      <c r="G8" s="2">
        <f t="shared" si="4"/>
        <v>1.1088634313156951</v>
      </c>
      <c r="H8" s="2">
        <f t="shared" si="5"/>
        <v>1.4697065468524371</v>
      </c>
    </row>
    <row r="9" spans="1:8">
      <c r="A9">
        <v>20</v>
      </c>
      <c r="B9">
        <v>20</v>
      </c>
      <c r="C9" s="2">
        <f t="shared" si="0"/>
        <v>3.7528800000000007</v>
      </c>
      <c r="D9" s="2">
        <f t="shared" si="1"/>
        <v>3.4088000000000003</v>
      </c>
      <c r="E9" s="2">
        <f t="shared" si="2"/>
        <v>5.1094012601345016</v>
      </c>
      <c r="F9" s="2">
        <f t="shared" si="3"/>
        <v>5.1062989095788387</v>
      </c>
      <c r="G9" s="2">
        <f t="shared" si="4"/>
        <v>1.3565212601345009</v>
      </c>
      <c r="H9" s="2">
        <f t="shared" si="5"/>
        <v>1.6974989095788384</v>
      </c>
    </row>
    <row r="10" spans="1:8">
      <c r="A10">
        <v>25</v>
      </c>
      <c r="B10">
        <v>25</v>
      </c>
      <c r="C10" s="2">
        <f t="shared" si="0"/>
        <v>4.6911000000000005</v>
      </c>
      <c r="D10" s="2">
        <f t="shared" si="1"/>
        <v>4.2610000000000001</v>
      </c>
      <c r="E10" s="2">
        <f t="shared" si="2"/>
        <v>6.2709509338067644</v>
      </c>
      <c r="F10" s="2">
        <f t="shared" si="3"/>
        <v>6.139795474984453</v>
      </c>
      <c r="G10" s="2">
        <f t="shared" si="4"/>
        <v>1.5798509338067639</v>
      </c>
      <c r="H10" s="2">
        <f t="shared" si="5"/>
        <v>1.8787954749844529</v>
      </c>
    </row>
    <row r="11" spans="1:8">
      <c r="A11">
        <v>30</v>
      </c>
      <c r="B11">
        <v>30</v>
      </c>
      <c r="C11" s="2">
        <f t="shared" si="0"/>
        <v>5.6293200000000008</v>
      </c>
      <c r="D11" s="2">
        <f t="shared" si="1"/>
        <v>5.1132</v>
      </c>
      <c r="E11" s="2">
        <f t="shared" si="2"/>
        <v>7.4134743040374182</v>
      </c>
      <c r="F11" s="2">
        <f t="shared" si="3"/>
        <v>7.1376888769569646</v>
      </c>
      <c r="G11" s="2">
        <f t="shared" si="4"/>
        <v>1.7841543040374175</v>
      </c>
      <c r="H11" s="2">
        <f t="shared" si="5"/>
        <v>2.0244888769569647</v>
      </c>
    </row>
    <row r="12" spans="1:8">
      <c r="A12">
        <v>35</v>
      </c>
      <c r="B12">
        <v>35</v>
      </c>
      <c r="C12" s="2">
        <f t="shared" si="0"/>
        <v>6.5675400000000002</v>
      </c>
      <c r="D12" s="2">
        <f t="shared" si="1"/>
        <v>5.9654000000000007</v>
      </c>
      <c r="E12" s="2">
        <f t="shared" si="2"/>
        <v>8.5404143080532116</v>
      </c>
      <c r="F12" s="2">
        <f t="shared" si="3"/>
        <v>8.1069157912827947</v>
      </c>
      <c r="G12" s="2">
        <f t="shared" si="4"/>
        <v>1.9728743080532114</v>
      </c>
      <c r="H12" s="2">
        <f t="shared" si="5"/>
        <v>2.141515791282794</v>
      </c>
    </row>
    <row r="13" spans="1:8">
      <c r="A13">
        <v>40</v>
      </c>
      <c r="B13">
        <v>40</v>
      </c>
      <c r="C13" s="2">
        <f t="shared" si="0"/>
        <v>7.5057600000000013</v>
      </c>
      <c r="D13" s="2">
        <f t="shared" si="1"/>
        <v>6.8176000000000005</v>
      </c>
      <c r="E13" s="2">
        <f t="shared" si="2"/>
        <v>9.6541834435589315</v>
      </c>
      <c r="F13" s="2">
        <f t="shared" si="3"/>
        <v>9.0522598081387784</v>
      </c>
      <c r="G13" s="2">
        <f t="shared" si="4"/>
        <v>2.1484234435589302</v>
      </c>
      <c r="H13" s="2">
        <f t="shared" si="5"/>
        <v>2.2346598081387778</v>
      </c>
    </row>
    <row r="14" spans="1:8">
      <c r="A14">
        <v>45</v>
      </c>
      <c r="B14">
        <v>45</v>
      </c>
      <c r="C14" s="2">
        <f t="shared" si="0"/>
        <v>8.4439799999999998</v>
      </c>
      <c r="D14" s="2">
        <f t="shared" si="1"/>
        <v>7.6697999999999995</v>
      </c>
      <c r="E14" s="2">
        <f t="shared" si="2"/>
        <v>10.756563921772758</v>
      </c>
      <c r="F14" s="2">
        <f t="shared" si="3"/>
        <v>9.977207250571464</v>
      </c>
      <c r="G14" s="2">
        <f t="shared" si="4"/>
        <v>2.3125839217727577</v>
      </c>
      <c r="H14" s="2">
        <f t="shared" si="5"/>
        <v>2.3074072505714645</v>
      </c>
    </row>
    <row r="15" spans="1:8">
      <c r="A15">
        <v>50</v>
      </c>
      <c r="B15">
        <v>50</v>
      </c>
      <c r="C15" s="2">
        <f t="shared" si="0"/>
        <v>9.382200000000001</v>
      </c>
      <c r="D15" s="2">
        <f t="shared" si="1"/>
        <v>8.5220000000000002</v>
      </c>
      <c r="E15" s="2">
        <f t="shared" si="2"/>
        <v>11.848924677905217</v>
      </c>
      <c r="F15" s="2">
        <f t="shared" si="3"/>
        <v>10.884404691651355</v>
      </c>
      <c r="G15" s="2">
        <f t="shared" si="4"/>
        <v>2.4667246779052157</v>
      </c>
      <c r="H15" s="2">
        <f t="shared" si="5"/>
        <v>2.3624046916513546</v>
      </c>
    </row>
    <row r="16" spans="1:8">
      <c r="A16">
        <v>55</v>
      </c>
      <c r="B16">
        <v>55</v>
      </c>
      <c r="C16" s="2">
        <f t="shared" si="0"/>
        <v>10.32042</v>
      </c>
      <c r="D16" s="2">
        <f t="shared" si="1"/>
        <v>9.3742000000000001</v>
      </c>
      <c r="E16" s="2">
        <f t="shared" si="2"/>
        <v>12.932349222773846</v>
      </c>
      <c r="F16" s="2">
        <f t="shared" si="3"/>
        <v>11.775925211044031</v>
      </c>
      <c r="G16" s="2">
        <f t="shared" si="4"/>
        <v>2.6119292227738455</v>
      </c>
      <c r="H16" s="2">
        <f t="shared" si="5"/>
        <v>2.401725211044031</v>
      </c>
    </row>
    <row r="17" spans="1:9">
      <c r="A17">
        <v>60</v>
      </c>
      <c r="B17">
        <v>60</v>
      </c>
      <c r="C17" s="2">
        <f t="shared" si="0"/>
        <v>11.258640000000002</v>
      </c>
      <c r="D17" s="2">
        <f t="shared" si="1"/>
        <v>10.2264</v>
      </c>
      <c r="E17" s="2">
        <f t="shared" si="2"/>
        <v>14.007715824496346</v>
      </c>
      <c r="F17" s="2">
        <f t="shared" si="3"/>
        <v>12.653433590162832</v>
      </c>
      <c r="G17" s="2">
        <f t="shared" si="4"/>
        <v>2.7490758244963445</v>
      </c>
      <c r="H17" s="2">
        <f t="shared" si="5"/>
        <v>2.4270335901628322</v>
      </c>
    </row>
    <row r="18" spans="1:9">
      <c r="A18">
        <v>65</v>
      </c>
      <c r="B18">
        <v>65</v>
      </c>
      <c r="C18" s="2">
        <f t="shared" si="0"/>
        <v>12.196860000000001</v>
      </c>
      <c r="D18" s="2">
        <f t="shared" si="1"/>
        <v>11.0786</v>
      </c>
      <c r="E18" s="2">
        <f t="shared" si="2"/>
        <v>15.075750318772462</v>
      </c>
      <c r="F18" s="2">
        <f t="shared" si="3"/>
        <v>13.518294077226358</v>
      </c>
      <c r="G18" s="2">
        <f t="shared" si="4"/>
        <v>2.878890318772461</v>
      </c>
      <c r="H18" s="2">
        <f t="shared" si="5"/>
        <v>2.439694077226358</v>
      </c>
    </row>
    <row r="19" spans="1:9">
      <c r="A19">
        <v>70</v>
      </c>
      <c r="B19">
        <v>70</v>
      </c>
      <c r="C19" s="2">
        <f t="shared" si="0"/>
        <v>13.13508</v>
      </c>
      <c r="D19" s="2">
        <f t="shared" si="1"/>
        <v>11.930800000000001</v>
      </c>
      <c r="E19" s="2">
        <f t="shared" si="2"/>
        <v>16.137062292846949</v>
      </c>
      <c r="F19" s="2">
        <f t="shared" si="3"/>
        <v>14.371643588613892</v>
      </c>
      <c r="G19" s="2">
        <f t="shared" si="4"/>
        <v>3.0019822928469484</v>
      </c>
      <c r="H19" s="2">
        <f t="shared" si="5"/>
        <v>2.4408435886138911</v>
      </c>
      <c r="I19" s="2">
        <f>C19-D19</f>
        <v>1.2042799999999989</v>
      </c>
    </row>
    <row r="20" spans="1:9">
      <c r="A20">
        <v>75</v>
      </c>
      <c r="B20">
        <v>75</v>
      </c>
      <c r="C20" s="2">
        <f t="shared" si="0"/>
        <v>14.073300000000001</v>
      </c>
      <c r="D20" s="2">
        <f t="shared" si="1"/>
        <v>12.782999999999999</v>
      </c>
      <c r="E20" s="2">
        <f t="shared" si="2"/>
        <v>17.192170698257655</v>
      </c>
      <c r="F20" s="2">
        <f t="shared" si="3"/>
        <v>15.214443117335209</v>
      </c>
      <c r="G20" s="2">
        <f t="shared" si="4"/>
        <v>3.1188706982576537</v>
      </c>
      <c r="H20" s="2">
        <f t="shared" si="5"/>
        <v>2.4314431173352098</v>
      </c>
    </row>
    <row r="21" spans="1:9">
      <c r="A21">
        <v>80</v>
      </c>
      <c r="B21">
        <v>80</v>
      </c>
      <c r="C21" s="2">
        <f t="shared" si="0"/>
        <v>15.011520000000003</v>
      </c>
      <c r="D21" s="2">
        <f t="shared" si="1"/>
        <v>13.635200000000001</v>
      </c>
      <c r="E21" s="2">
        <f t="shared" si="2"/>
        <v>18.241522483093039</v>
      </c>
      <c r="F21" s="2">
        <f t="shared" si="3"/>
        <v>16.047514860582904</v>
      </c>
      <c r="G21" s="2">
        <f t="shared" si="4"/>
        <v>3.2300024830930365</v>
      </c>
      <c r="H21" s="2">
        <f t="shared" si="5"/>
        <v>2.412314860582903</v>
      </c>
    </row>
    <row r="22" spans="1:9">
      <c r="A22">
        <v>85</v>
      </c>
      <c r="B22">
        <v>85</v>
      </c>
      <c r="C22" s="2">
        <f t="shared" si="0"/>
        <v>15.949740000000002</v>
      </c>
      <c r="D22" s="2">
        <f t="shared" si="1"/>
        <v>14.487399999999999</v>
      </c>
      <c r="E22" s="2">
        <f t="shared" si="2"/>
        <v>19.285506465423211</v>
      </c>
      <c r="F22" s="2">
        <f t="shared" si="3"/>
        <v>16.871569679805106</v>
      </c>
      <c r="G22" s="2">
        <f t="shared" si="4"/>
        <v>3.3357664654232089</v>
      </c>
      <c r="H22" s="2">
        <f t="shared" si="5"/>
        <v>2.3841696798051064</v>
      </c>
    </row>
    <row r="23" spans="1:9">
      <c r="A23">
        <v>90</v>
      </c>
      <c r="B23">
        <v>90</v>
      </c>
      <c r="C23" s="2">
        <f t="shared" si="0"/>
        <v>16.88796</v>
      </c>
      <c r="D23" s="2"/>
      <c r="E23" s="2">
        <f t="shared" si="2"/>
        <v>20.32446387278425</v>
      </c>
      <c r="F23" s="2">
        <f t="shared" si="3"/>
        <v>17.687227831961771</v>
      </c>
      <c r="G23" s="2">
        <f t="shared" si="4"/>
        <v>3.4365038727842503</v>
      </c>
      <c r="H23" s="2">
        <f t="shared" si="5"/>
        <v>17.687227831961771</v>
      </c>
    </row>
    <row r="24" spans="1:9">
      <c r="A24">
        <v>95</v>
      </c>
      <c r="B24">
        <v>95</v>
      </c>
      <c r="C24" s="2">
        <f t="shared" si="0"/>
        <v>17.826180000000001</v>
      </c>
      <c r="D24" s="2"/>
      <c r="E24" s="2">
        <f t="shared" si="2"/>
        <v>21.358696490181824</v>
      </c>
      <c r="F24" s="2">
        <f t="shared" si="3"/>
        <v>18.495034903383189</v>
      </c>
      <c r="G24" s="2">
        <f t="shared" si="4"/>
        <v>3.5325164901818233</v>
      </c>
      <c r="H24" s="2">
        <f t="shared" si="5"/>
        <v>18.495034903383189</v>
      </c>
    </row>
    <row r="25" spans="1:9">
      <c r="A25">
        <v>100</v>
      </c>
      <c r="B25">
        <v>100</v>
      </c>
      <c r="C25" s="2"/>
      <c r="D25" s="2"/>
      <c r="E25" s="2">
        <f t="shared" si="2"/>
        <v>22.388473056899475</v>
      </c>
      <c r="F25" s="2">
        <f t="shared" si="3"/>
        <v>19.295474250621041</v>
      </c>
      <c r="G25" s="2">
        <f t="shared" si="4"/>
        <v>22.388473056899475</v>
      </c>
      <c r="H25" s="2">
        <f t="shared" si="5"/>
        <v>19.295474250621041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1"/>
  <sheetViews>
    <sheetView workbookViewId="0">
      <selection sqref="A1:A1048576"/>
    </sheetView>
  </sheetViews>
  <sheetFormatPr baseColWidth="10" defaultRowHeight="15" x14ac:dyDescent="0"/>
  <cols>
    <col min="3" max="3" width="16.1640625" bestFit="1" customWidth="1"/>
  </cols>
  <sheetData>
    <row r="1" spans="1:4">
      <c r="A1" t="s">
        <v>1</v>
      </c>
      <c r="B1" t="s">
        <v>32</v>
      </c>
      <c r="C1" t="s">
        <v>2</v>
      </c>
      <c r="D1" t="s">
        <v>33</v>
      </c>
    </row>
    <row r="2" spans="1:4">
      <c r="A2">
        <v>5</v>
      </c>
      <c r="B2">
        <v>5</v>
      </c>
      <c r="C2" t="s">
        <v>34</v>
      </c>
      <c r="D2" s="2">
        <f>0.203*A2+0.698*-0.022*B2</f>
        <v>0.93822000000000016</v>
      </c>
    </row>
    <row r="3" spans="1:4">
      <c r="A3">
        <v>10</v>
      </c>
      <c r="B3">
        <v>10</v>
      </c>
      <c r="C3" t="s">
        <v>34</v>
      </c>
      <c r="D3" s="2">
        <f t="shared" ref="D3:D20" si="0">0.203*A3+0.698*-0.022*B3</f>
        <v>1.8764400000000003</v>
      </c>
    </row>
    <row r="4" spans="1:4">
      <c r="A4">
        <v>15</v>
      </c>
      <c r="B4">
        <v>15</v>
      </c>
      <c r="C4" t="s">
        <v>34</v>
      </c>
      <c r="D4" s="2">
        <f t="shared" si="0"/>
        <v>2.8146600000000004</v>
      </c>
    </row>
    <row r="5" spans="1:4">
      <c r="A5">
        <v>20</v>
      </c>
      <c r="B5">
        <v>20</v>
      </c>
      <c r="C5" t="s">
        <v>34</v>
      </c>
      <c r="D5" s="2">
        <f t="shared" si="0"/>
        <v>3.7528800000000007</v>
      </c>
    </row>
    <row r="6" spans="1:4">
      <c r="A6">
        <v>25</v>
      </c>
      <c r="B6">
        <v>25</v>
      </c>
      <c r="C6" t="s">
        <v>34</v>
      </c>
      <c r="D6" s="2">
        <f t="shared" si="0"/>
        <v>4.6911000000000005</v>
      </c>
    </row>
    <row r="7" spans="1:4">
      <c r="A7">
        <v>30</v>
      </c>
      <c r="B7">
        <v>30</v>
      </c>
      <c r="C7" t="s">
        <v>34</v>
      </c>
      <c r="D7" s="2">
        <f t="shared" si="0"/>
        <v>5.6293200000000008</v>
      </c>
    </row>
    <row r="8" spans="1:4">
      <c r="A8">
        <v>35</v>
      </c>
      <c r="B8">
        <v>35</v>
      </c>
      <c r="C8" t="s">
        <v>34</v>
      </c>
      <c r="D8" s="2">
        <f t="shared" si="0"/>
        <v>6.5675400000000002</v>
      </c>
    </row>
    <row r="9" spans="1:4">
      <c r="A9">
        <v>40</v>
      </c>
      <c r="B9">
        <v>40</v>
      </c>
      <c r="C9" t="s">
        <v>34</v>
      </c>
      <c r="D9" s="2">
        <f t="shared" si="0"/>
        <v>7.5057600000000013</v>
      </c>
    </row>
    <row r="10" spans="1:4">
      <c r="A10">
        <v>45</v>
      </c>
      <c r="B10">
        <v>45</v>
      </c>
      <c r="C10" t="s">
        <v>34</v>
      </c>
      <c r="D10" s="2">
        <f t="shared" si="0"/>
        <v>8.4439799999999998</v>
      </c>
    </row>
    <row r="11" spans="1:4">
      <c r="A11">
        <v>50</v>
      </c>
      <c r="B11">
        <v>50</v>
      </c>
      <c r="C11" t="s">
        <v>34</v>
      </c>
      <c r="D11" s="2">
        <f t="shared" si="0"/>
        <v>9.382200000000001</v>
      </c>
    </row>
    <row r="12" spans="1:4">
      <c r="A12">
        <v>55</v>
      </c>
      <c r="B12">
        <v>55</v>
      </c>
      <c r="C12" t="s">
        <v>34</v>
      </c>
      <c r="D12" s="2">
        <f t="shared" si="0"/>
        <v>10.32042</v>
      </c>
    </row>
    <row r="13" spans="1:4">
      <c r="A13">
        <v>60</v>
      </c>
      <c r="B13">
        <v>60</v>
      </c>
      <c r="C13" t="s">
        <v>34</v>
      </c>
      <c r="D13" s="2">
        <f t="shared" si="0"/>
        <v>11.258640000000002</v>
      </c>
    </row>
    <row r="14" spans="1:4">
      <c r="A14">
        <v>65</v>
      </c>
      <c r="B14">
        <v>65</v>
      </c>
      <c r="C14" t="s">
        <v>34</v>
      </c>
      <c r="D14" s="2">
        <f t="shared" si="0"/>
        <v>12.196860000000001</v>
      </c>
    </row>
    <row r="15" spans="1:4">
      <c r="A15">
        <v>70</v>
      </c>
      <c r="B15">
        <v>70</v>
      </c>
      <c r="C15" t="s">
        <v>34</v>
      </c>
      <c r="D15" s="2">
        <f t="shared" si="0"/>
        <v>13.13508</v>
      </c>
    </row>
    <row r="16" spans="1:4">
      <c r="A16">
        <v>75</v>
      </c>
      <c r="B16">
        <v>75</v>
      </c>
      <c r="C16" t="s">
        <v>34</v>
      </c>
      <c r="D16" s="2">
        <f t="shared" si="0"/>
        <v>14.073300000000001</v>
      </c>
    </row>
    <row r="17" spans="1:4">
      <c r="A17">
        <v>80</v>
      </c>
      <c r="B17">
        <v>80</v>
      </c>
      <c r="C17" t="s">
        <v>34</v>
      </c>
      <c r="D17" s="2">
        <f t="shared" si="0"/>
        <v>15.011520000000003</v>
      </c>
    </row>
    <row r="18" spans="1:4">
      <c r="A18">
        <v>85</v>
      </c>
      <c r="B18">
        <v>85</v>
      </c>
      <c r="C18" t="s">
        <v>34</v>
      </c>
      <c r="D18" s="2">
        <f t="shared" si="0"/>
        <v>15.949740000000002</v>
      </c>
    </row>
    <row r="19" spans="1:4">
      <c r="A19">
        <v>90</v>
      </c>
      <c r="B19">
        <v>90</v>
      </c>
      <c r="C19" t="s">
        <v>34</v>
      </c>
      <c r="D19" s="2">
        <f t="shared" si="0"/>
        <v>16.88796</v>
      </c>
    </row>
    <row r="20" spans="1:4">
      <c r="A20">
        <v>95</v>
      </c>
      <c r="B20">
        <v>95</v>
      </c>
      <c r="C20" t="s">
        <v>34</v>
      </c>
      <c r="D20" s="2">
        <f t="shared" si="0"/>
        <v>17.826180000000001</v>
      </c>
    </row>
    <row r="21" spans="1:4">
      <c r="A21">
        <v>100</v>
      </c>
      <c r="B21">
        <v>100</v>
      </c>
      <c r="C21" t="s">
        <v>34</v>
      </c>
    </row>
    <row r="22" spans="1:4">
      <c r="A22">
        <v>5</v>
      </c>
      <c r="B22">
        <v>5</v>
      </c>
      <c r="C22" t="s">
        <v>35</v>
      </c>
      <c r="D22" s="2">
        <f>0.183*A22+0.785*-0.016*B22</f>
        <v>0.85220000000000007</v>
      </c>
    </row>
    <row r="23" spans="1:4">
      <c r="A23">
        <v>10</v>
      </c>
      <c r="B23">
        <v>10</v>
      </c>
      <c r="C23" t="s">
        <v>35</v>
      </c>
      <c r="D23" s="2">
        <f t="shared" ref="D23:D38" si="1">0.183*A23+0.785*-0.016*B23</f>
        <v>1.7044000000000001</v>
      </c>
    </row>
    <row r="24" spans="1:4">
      <c r="A24">
        <v>15</v>
      </c>
      <c r="B24">
        <v>15</v>
      </c>
      <c r="C24" t="s">
        <v>35</v>
      </c>
      <c r="D24" s="2">
        <f t="shared" si="1"/>
        <v>2.5566</v>
      </c>
    </row>
    <row r="25" spans="1:4">
      <c r="A25">
        <v>20</v>
      </c>
      <c r="B25">
        <v>20</v>
      </c>
      <c r="C25" t="s">
        <v>35</v>
      </c>
      <c r="D25" s="2">
        <f t="shared" si="1"/>
        <v>3.4088000000000003</v>
      </c>
    </row>
    <row r="26" spans="1:4">
      <c r="A26">
        <v>25</v>
      </c>
      <c r="B26">
        <v>25</v>
      </c>
      <c r="C26" t="s">
        <v>35</v>
      </c>
      <c r="D26" s="2">
        <f t="shared" si="1"/>
        <v>4.2610000000000001</v>
      </c>
    </row>
    <row r="27" spans="1:4">
      <c r="A27">
        <v>30</v>
      </c>
      <c r="B27">
        <v>30</v>
      </c>
      <c r="C27" t="s">
        <v>35</v>
      </c>
      <c r="D27" s="2">
        <f t="shared" si="1"/>
        <v>5.1132</v>
      </c>
    </row>
    <row r="28" spans="1:4">
      <c r="A28">
        <v>35</v>
      </c>
      <c r="B28">
        <v>35</v>
      </c>
      <c r="C28" t="s">
        <v>35</v>
      </c>
      <c r="D28" s="2">
        <f t="shared" si="1"/>
        <v>5.9654000000000007</v>
      </c>
    </row>
    <row r="29" spans="1:4">
      <c r="A29">
        <v>40</v>
      </c>
      <c r="B29">
        <v>40</v>
      </c>
      <c r="C29" t="s">
        <v>35</v>
      </c>
      <c r="D29" s="2">
        <f t="shared" si="1"/>
        <v>6.8176000000000005</v>
      </c>
    </row>
    <row r="30" spans="1:4">
      <c r="A30">
        <v>45</v>
      </c>
      <c r="B30">
        <v>45</v>
      </c>
      <c r="C30" t="s">
        <v>35</v>
      </c>
      <c r="D30" s="2">
        <f t="shared" si="1"/>
        <v>7.6697999999999995</v>
      </c>
    </row>
    <row r="31" spans="1:4">
      <c r="A31">
        <v>50</v>
      </c>
      <c r="B31">
        <v>50</v>
      </c>
      <c r="C31" t="s">
        <v>35</v>
      </c>
      <c r="D31" s="2">
        <f t="shared" si="1"/>
        <v>8.5220000000000002</v>
      </c>
    </row>
    <row r="32" spans="1:4">
      <c r="A32">
        <v>55</v>
      </c>
      <c r="B32">
        <v>55</v>
      </c>
      <c r="C32" t="s">
        <v>35</v>
      </c>
      <c r="D32" s="2">
        <f t="shared" si="1"/>
        <v>9.3742000000000001</v>
      </c>
    </row>
    <row r="33" spans="1:4">
      <c r="A33">
        <v>60</v>
      </c>
      <c r="B33">
        <v>60</v>
      </c>
      <c r="C33" t="s">
        <v>35</v>
      </c>
      <c r="D33" s="2">
        <f t="shared" si="1"/>
        <v>10.2264</v>
      </c>
    </row>
    <row r="34" spans="1:4">
      <c r="A34">
        <v>65</v>
      </c>
      <c r="B34">
        <v>65</v>
      </c>
      <c r="C34" t="s">
        <v>35</v>
      </c>
      <c r="D34" s="2">
        <f t="shared" si="1"/>
        <v>11.0786</v>
      </c>
    </row>
    <row r="35" spans="1:4">
      <c r="A35">
        <v>70</v>
      </c>
      <c r="B35">
        <v>70</v>
      </c>
      <c r="C35" t="s">
        <v>35</v>
      </c>
      <c r="D35" s="2">
        <f t="shared" si="1"/>
        <v>11.930800000000001</v>
      </c>
    </row>
    <row r="36" spans="1:4">
      <c r="A36">
        <v>75</v>
      </c>
      <c r="B36">
        <v>75</v>
      </c>
      <c r="C36" t="s">
        <v>35</v>
      </c>
      <c r="D36" s="2">
        <f t="shared" si="1"/>
        <v>12.782999999999999</v>
      </c>
    </row>
    <row r="37" spans="1:4">
      <c r="A37">
        <v>80</v>
      </c>
      <c r="B37">
        <v>80</v>
      </c>
      <c r="C37" t="s">
        <v>35</v>
      </c>
      <c r="D37" s="2">
        <f t="shared" si="1"/>
        <v>13.635200000000001</v>
      </c>
    </row>
    <row r="38" spans="1:4">
      <c r="A38">
        <v>85</v>
      </c>
      <c r="B38">
        <v>85</v>
      </c>
      <c r="C38" t="s">
        <v>35</v>
      </c>
      <c r="D38" s="2">
        <f t="shared" si="1"/>
        <v>14.487399999999999</v>
      </c>
    </row>
    <row r="39" spans="1:4">
      <c r="A39">
        <v>90</v>
      </c>
      <c r="B39">
        <v>90</v>
      </c>
      <c r="C39" t="s">
        <v>35</v>
      </c>
      <c r="D39" s="2"/>
    </row>
    <row r="40" spans="1:4">
      <c r="A40">
        <v>95</v>
      </c>
      <c r="B40">
        <v>95</v>
      </c>
      <c r="C40" t="s">
        <v>35</v>
      </c>
      <c r="D40" s="2"/>
    </row>
    <row r="41" spans="1:4">
      <c r="A41">
        <v>100</v>
      </c>
      <c r="B41">
        <v>100</v>
      </c>
      <c r="C41" t="s">
        <v>35</v>
      </c>
    </row>
    <row r="42" spans="1:4">
      <c r="A42">
        <v>5</v>
      </c>
      <c r="B42">
        <v>5</v>
      </c>
      <c r="C42" t="s">
        <v>36</v>
      </c>
      <c r="D42" s="2">
        <f>EXP(-1.119+0.918*LN(A42))</f>
        <v>1.4311295157112067</v>
      </c>
    </row>
    <row r="43" spans="1:4">
      <c r="A43">
        <v>10</v>
      </c>
      <c r="B43">
        <v>10</v>
      </c>
      <c r="C43" t="s">
        <v>36</v>
      </c>
      <c r="D43" s="2">
        <f t="shared" ref="D43:D61" si="2">EXP(-1.119+0.918*LN(A43))</f>
        <v>2.7041107505038555</v>
      </c>
    </row>
    <row r="44" spans="1:4">
      <c r="A44">
        <v>15</v>
      </c>
      <c r="B44">
        <v>15</v>
      </c>
      <c r="C44" t="s">
        <v>36</v>
      </c>
      <c r="D44" s="2">
        <f t="shared" si="2"/>
        <v>3.9235234313156955</v>
      </c>
    </row>
    <row r="45" spans="1:4">
      <c r="A45">
        <v>20</v>
      </c>
      <c r="B45">
        <v>20</v>
      </c>
      <c r="C45" t="s">
        <v>36</v>
      </c>
      <c r="D45" s="2">
        <f t="shared" si="2"/>
        <v>5.1094012601345016</v>
      </c>
    </row>
    <row r="46" spans="1:4">
      <c r="A46">
        <v>25</v>
      </c>
      <c r="B46">
        <v>25</v>
      </c>
      <c r="C46" t="s">
        <v>36</v>
      </c>
      <c r="D46" s="2">
        <f t="shared" si="2"/>
        <v>6.2709509338067644</v>
      </c>
    </row>
    <row r="47" spans="1:4">
      <c r="A47">
        <v>30</v>
      </c>
      <c r="B47">
        <v>30</v>
      </c>
      <c r="C47" t="s">
        <v>36</v>
      </c>
      <c r="D47" s="2">
        <f t="shared" si="2"/>
        <v>7.4134743040374182</v>
      </c>
    </row>
    <row r="48" spans="1:4">
      <c r="A48">
        <v>35</v>
      </c>
      <c r="B48">
        <v>35</v>
      </c>
      <c r="C48" t="s">
        <v>36</v>
      </c>
      <c r="D48" s="2">
        <f t="shared" si="2"/>
        <v>8.5404143080532116</v>
      </c>
    </row>
    <row r="49" spans="1:4">
      <c r="A49">
        <v>40</v>
      </c>
      <c r="B49">
        <v>40</v>
      </c>
      <c r="C49" t="s">
        <v>36</v>
      </c>
      <c r="D49" s="2">
        <f t="shared" si="2"/>
        <v>9.6541834435589315</v>
      </c>
    </row>
    <row r="50" spans="1:4">
      <c r="A50">
        <v>45</v>
      </c>
      <c r="B50">
        <v>45</v>
      </c>
      <c r="C50" t="s">
        <v>36</v>
      </c>
      <c r="D50" s="2">
        <f t="shared" si="2"/>
        <v>10.756563921772758</v>
      </c>
    </row>
    <row r="51" spans="1:4">
      <c r="A51">
        <v>50</v>
      </c>
      <c r="B51">
        <v>50</v>
      </c>
      <c r="C51" t="s">
        <v>36</v>
      </c>
      <c r="D51" s="2">
        <f t="shared" si="2"/>
        <v>11.848924677905217</v>
      </c>
    </row>
    <row r="52" spans="1:4">
      <c r="A52">
        <v>55</v>
      </c>
      <c r="B52">
        <v>55</v>
      </c>
      <c r="C52" t="s">
        <v>36</v>
      </c>
      <c r="D52" s="2">
        <f t="shared" si="2"/>
        <v>12.932349222773846</v>
      </c>
    </row>
    <row r="53" spans="1:4">
      <c r="A53">
        <v>60</v>
      </c>
      <c r="B53">
        <v>60</v>
      </c>
      <c r="C53" t="s">
        <v>36</v>
      </c>
      <c r="D53" s="2">
        <f t="shared" si="2"/>
        <v>14.007715824496346</v>
      </c>
    </row>
    <row r="54" spans="1:4">
      <c r="A54">
        <v>65</v>
      </c>
      <c r="B54">
        <v>65</v>
      </c>
      <c r="C54" t="s">
        <v>36</v>
      </c>
      <c r="D54" s="2">
        <f t="shared" si="2"/>
        <v>15.075750318772462</v>
      </c>
    </row>
    <row r="55" spans="1:4">
      <c r="A55">
        <v>70</v>
      </c>
      <c r="B55">
        <v>70</v>
      </c>
      <c r="C55" t="s">
        <v>36</v>
      </c>
      <c r="D55" s="2">
        <f t="shared" si="2"/>
        <v>16.137062292846949</v>
      </c>
    </row>
    <row r="56" spans="1:4">
      <c r="A56">
        <v>75</v>
      </c>
      <c r="B56">
        <v>75</v>
      </c>
      <c r="C56" t="s">
        <v>36</v>
      </c>
      <c r="D56" s="2">
        <f t="shared" si="2"/>
        <v>17.192170698257655</v>
      </c>
    </row>
    <row r="57" spans="1:4">
      <c r="A57">
        <v>80</v>
      </c>
      <c r="B57">
        <v>80</v>
      </c>
      <c r="C57" t="s">
        <v>36</v>
      </c>
      <c r="D57" s="2">
        <f t="shared" si="2"/>
        <v>18.241522483093039</v>
      </c>
    </row>
    <row r="58" spans="1:4">
      <c r="A58">
        <v>85</v>
      </c>
      <c r="B58">
        <v>85</v>
      </c>
      <c r="C58" t="s">
        <v>36</v>
      </c>
      <c r="D58" s="2">
        <f t="shared" si="2"/>
        <v>19.285506465423211</v>
      </c>
    </row>
    <row r="59" spans="1:4">
      <c r="A59">
        <v>90</v>
      </c>
      <c r="B59">
        <v>90</v>
      </c>
      <c r="C59" t="s">
        <v>36</v>
      </c>
      <c r="D59" s="2">
        <f t="shared" si="2"/>
        <v>20.32446387278425</v>
      </c>
    </row>
    <row r="60" spans="1:4">
      <c r="A60">
        <v>95</v>
      </c>
      <c r="B60">
        <v>95</v>
      </c>
      <c r="C60" t="s">
        <v>36</v>
      </c>
      <c r="D60" s="2">
        <f t="shared" si="2"/>
        <v>21.358696490181824</v>
      </c>
    </row>
    <row r="61" spans="1:4">
      <c r="A61">
        <v>100</v>
      </c>
      <c r="B61">
        <v>100</v>
      </c>
      <c r="C61" t="s">
        <v>36</v>
      </c>
      <c r="D61" s="2">
        <f t="shared" si="2"/>
        <v>22.388473056899475</v>
      </c>
    </row>
    <row r="62" spans="1:4">
      <c r="A62">
        <v>5</v>
      </c>
      <c r="B62">
        <v>5</v>
      </c>
      <c r="C62" t="s">
        <v>37</v>
      </c>
      <c r="D62" s="2">
        <f>EXP(-0.844+0.826*LN(A62))</f>
        <v>1.6248178475292541</v>
      </c>
    </row>
    <row r="63" spans="1:4">
      <c r="A63">
        <v>10</v>
      </c>
      <c r="B63">
        <v>10</v>
      </c>
      <c r="C63" t="s">
        <v>37</v>
      </c>
      <c r="D63" s="2">
        <f t="shared" ref="D63:D81" si="3">EXP(-0.844+0.826*LN(A63))</f>
        <v>2.8804176091502547</v>
      </c>
    </row>
    <row r="64" spans="1:4">
      <c r="A64">
        <v>15</v>
      </c>
      <c r="B64">
        <v>15</v>
      </c>
      <c r="C64" t="s">
        <v>37</v>
      </c>
      <c r="D64" s="2">
        <f t="shared" si="3"/>
        <v>4.0263065468524371</v>
      </c>
    </row>
    <row r="65" spans="1:4">
      <c r="A65">
        <v>20</v>
      </c>
      <c r="B65">
        <v>20</v>
      </c>
      <c r="C65" t="s">
        <v>37</v>
      </c>
      <c r="D65" s="2">
        <f t="shared" si="3"/>
        <v>5.1062989095788387</v>
      </c>
    </row>
    <row r="66" spans="1:4">
      <c r="A66">
        <v>25</v>
      </c>
      <c r="B66">
        <v>25</v>
      </c>
      <c r="C66" t="s">
        <v>37</v>
      </c>
      <c r="D66" s="2">
        <f t="shared" si="3"/>
        <v>6.139795474984453</v>
      </c>
    </row>
    <row r="67" spans="1:4">
      <c r="A67">
        <v>30</v>
      </c>
      <c r="B67">
        <v>30</v>
      </c>
      <c r="C67" t="s">
        <v>37</v>
      </c>
      <c r="D67" s="2">
        <f t="shared" si="3"/>
        <v>7.1376888769569646</v>
      </c>
    </row>
    <row r="68" spans="1:4">
      <c r="A68">
        <v>35</v>
      </c>
      <c r="B68">
        <v>35</v>
      </c>
      <c r="C68" t="s">
        <v>37</v>
      </c>
      <c r="D68" s="2">
        <f t="shared" si="3"/>
        <v>8.1069157912827947</v>
      </c>
    </row>
    <row r="69" spans="1:4">
      <c r="A69">
        <v>40</v>
      </c>
      <c r="B69">
        <v>40</v>
      </c>
      <c r="C69" t="s">
        <v>37</v>
      </c>
      <c r="D69" s="2">
        <f t="shared" si="3"/>
        <v>9.0522598081387784</v>
      </c>
    </row>
    <row r="70" spans="1:4">
      <c r="A70">
        <v>45</v>
      </c>
      <c r="B70">
        <v>45</v>
      </c>
      <c r="C70" t="s">
        <v>37</v>
      </c>
      <c r="D70" s="2">
        <f t="shared" si="3"/>
        <v>9.977207250571464</v>
      </c>
    </row>
    <row r="71" spans="1:4">
      <c r="A71">
        <v>50</v>
      </c>
      <c r="B71">
        <v>50</v>
      </c>
      <c r="C71" t="s">
        <v>37</v>
      </c>
      <c r="D71" s="2">
        <f t="shared" si="3"/>
        <v>10.884404691651355</v>
      </c>
    </row>
    <row r="72" spans="1:4">
      <c r="A72">
        <v>55</v>
      </c>
      <c r="B72">
        <v>55</v>
      </c>
      <c r="C72" t="s">
        <v>37</v>
      </c>
      <c r="D72" s="2">
        <f t="shared" si="3"/>
        <v>11.775925211044031</v>
      </c>
    </row>
    <row r="73" spans="1:4">
      <c r="A73">
        <v>60</v>
      </c>
      <c r="B73">
        <v>60</v>
      </c>
      <c r="C73" t="s">
        <v>37</v>
      </c>
      <c r="D73" s="2">
        <f t="shared" si="3"/>
        <v>12.653433590162832</v>
      </c>
    </row>
    <row r="74" spans="1:4">
      <c r="A74">
        <v>65</v>
      </c>
      <c r="B74">
        <v>65</v>
      </c>
      <c r="C74" t="s">
        <v>37</v>
      </c>
      <c r="D74" s="2">
        <f t="shared" si="3"/>
        <v>13.518294077226358</v>
      </c>
    </row>
    <row r="75" spans="1:4">
      <c r="A75">
        <v>70</v>
      </c>
      <c r="B75">
        <v>70</v>
      </c>
      <c r="C75" t="s">
        <v>37</v>
      </c>
      <c r="D75" s="2">
        <f t="shared" si="3"/>
        <v>14.371643588613892</v>
      </c>
    </row>
    <row r="76" spans="1:4">
      <c r="A76">
        <v>75</v>
      </c>
      <c r="B76">
        <v>75</v>
      </c>
      <c r="C76" t="s">
        <v>37</v>
      </c>
      <c r="D76" s="2">
        <f t="shared" si="3"/>
        <v>15.214443117335209</v>
      </c>
    </row>
    <row r="77" spans="1:4">
      <c r="A77">
        <v>80</v>
      </c>
      <c r="B77">
        <v>80</v>
      </c>
      <c r="C77" t="s">
        <v>37</v>
      </c>
      <c r="D77" s="2">
        <f t="shared" si="3"/>
        <v>16.047514860582904</v>
      </c>
    </row>
    <row r="78" spans="1:4">
      <c r="A78">
        <v>85</v>
      </c>
      <c r="B78">
        <v>85</v>
      </c>
      <c r="C78" t="s">
        <v>37</v>
      </c>
      <c r="D78" s="2">
        <f t="shared" si="3"/>
        <v>16.871569679805106</v>
      </c>
    </row>
    <row r="79" spans="1:4">
      <c r="A79">
        <v>90</v>
      </c>
      <c r="B79">
        <v>90</v>
      </c>
      <c r="C79" t="s">
        <v>37</v>
      </c>
      <c r="D79" s="2">
        <f t="shared" si="3"/>
        <v>17.687227831961771</v>
      </c>
    </row>
    <row r="80" spans="1:4">
      <c r="A80">
        <v>95</v>
      </c>
      <c r="B80">
        <v>95</v>
      </c>
      <c r="C80" t="s">
        <v>37</v>
      </c>
      <c r="D80" s="2">
        <f t="shared" si="3"/>
        <v>18.495034903383189</v>
      </c>
    </row>
    <row r="81" spans="1:4">
      <c r="A81">
        <v>100</v>
      </c>
      <c r="B81">
        <v>100</v>
      </c>
      <c r="C81" t="s">
        <v>37</v>
      </c>
      <c r="D81" s="2">
        <f t="shared" si="3"/>
        <v>19.295474250621041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16"/>
  <sheetViews>
    <sheetView workbookViewId="0">
      <selection activeCell="B11" sqref="B11"/>
    </sheetView>
  </sheetViews>
  <sheetFormatPr baseColWidth="10" defaultRowHeight="15" x14ac:dyDescent="0"/>
  <cols>
    <col min="1" max="1" width="15.1640625" bestFit="1" customWidth="1"/>
  </cols>
  <sheetData>
    <row r="4" spans="1:3">
      <c r="B4" t="s">
        <v>47</v>
      </c>
      <c r="C4" t="s">
        <v>48</v>
      </c>
    </row>
    <row r="5" spans="1:3">
      <c r="B5" t="s">
        <v>49</v>
      </c>
      <c r="C5" t="s">
        <v>50</v>
      </c>
    </row>
    <row r="6" spans="1:3">
      <c r="A6" t="s">
        <v>38</v>
      </c>
      <c r="B6">
        <v>0.69189000000000001</v>
      </c>
      <c r="C6">
        <v>18.677</v>
      </c>
    </row>
    <row r="7" spans="1:3">
      <c r="A7" t="s">
        <v>39</v>
      </c>
      <c r="B7">
        <v>0.97524</v>
      </c>
      <c r="C7">
        <v>16.151199999999999</v>
      </c>
    </row>
    <row r="8" spans="1:3">
      <c r="A8" t="s">
        <v>40</v>
      </c>
      <c r="B8" s="3">
        <v>2.79271</v>
      </c>
      <c r="C8">
        <v>10.6684</v>
      </c>
    </row>
    <row r="9" spans="1:3">
      <c r="A9" t="s">
        <v>9</v>
      </c>
      <c r="B9" s="3">
        <v>1.1331199999999999</v>
      </c>
      <c r="C9">
        <v>15.2331</v>
      </c>
    </row>
    <row r="10" spans="1:3">
      <c r="A10" t="s">
        <v>11</v>
      </c>
      <c r="B10">
        <v>0.7581</v>
      </c>
      <c r="C10">
        <v>20.3565</v>
      </c>
    </row>
    <row r="11" spans="1:3">
      <c r="A11" t="s">
        <v>41</v>
      </c>
      <c r="B11">
        <v>2.7526600000000001</v>
      </c>
      <c r="C11">
        <v>18.1646</v>
      </c>
    </row>
    <row r="12" spans="1:3">
      <c r="A12" t="s">
        <v>42</v>
      </c>
      <c r="B12">
        <v>0.80096999999999996</v>
      </c>
      <c r="C12">
        <v>18.950199999999999</v>
      </c>
    </row>
    <row r="13" spans="1:3">
      <c r="A13" t="s">
        <v>43</v>
      </c>
      <c r="B13">
        <v>1.76</v>
      </c>
      <c r="C13">
        <v>15.4</v>
      </c>
    </row>
    <row r="14" spans="1:3">
      <c r="A14" t="s">
        <v>44</v>
      </c>
      <c r="B14">
        <v>1.71733</v>
      </c>
      <c r="C14">
        <v>15.6159</v>
      </c>
    </row>
    <row r="15" spans="1:3">
      <c r="A15" t="s">
        <v>46</v>
      </c>
      <c r="B15">
        <v>1.0957600000000001</v>
      </c>
      <c r="C15">
        <v>18.449000000000002</v>
      </c>
    </row>
    <row r="16" spans="1:3">
      <c r="A16" t="s">
        <v>45</v>
      </c>
      <c r="B16">
        <v>2.25928</v>
      </c>
      <c r="C16">
        <v>11.440799999999999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6"/>
  <sheetViews>
    <sheetView tabSelected="1" topLeftCell="A116" workbookViewId="0">
      <selection activeCell="G124" sqref="G124"/>
    </sheetView>
  </sheetViews>
  <sheetFormatPr baseColWidth="10" defaultRowHeight="15" x14ac:dyDescent="0"/>
  <cols>
    <col min="2" max="2" width="15.1640625" bestFit="1" customWidth="1"/>
    <col min="3" max="3" width="13.5" style="2" bestFit="1" customWidth="1"/>
    <col min="6" max="6" width="21.33203125" customWidth="1"/>
    <col min="7" max="7" width="15.33203125" customWidth="1"/>
  </cols>
  <sheetData>
    <row r="1" spans="1:8">
      <c r="A1" t="s">
        <v>1</v>
      </c>
      <c r="B1" t="s">
        <v>2</v>
      </c>
      <c r="C1" s="2" t="s">
        <v>3</v>
      </c>
      <c r="D1" t="s">
        <v>51</v>
      </c>
      <c r="E1" t="s">
        <v>52</v>
      </c>
    </row>
    <row r="2" spans="1:8">
      <c r="A2">
        <v>5</v>
      </c>
      <c r="B2" t="s">
        <v>38</v>
      </c>
      <c r="C2" s="2">
        <f>VLOOKUP($B2,'Hemery-Variabelen'!$A$5:$C$16,3,FALSE)*(Hemery_onder_elkaar!A2/100)+VLOOKUP($B2,'Hemery-Variabelen'!$A$5:$C$16,2,FALSE)</f>
        <v>1.62574</v>
      </c>
      <c r="D2" s="2">
        <f>C2/(A2/100)</f>
        <v>32.514799999999994</v>
      </c>
      <c r="E2" s="4">
        <f>10^4/C2^2</f>
        <v>3783.5355361596125</v>
      </c>
      <c r="F2">
        <f>10000*79%/A2*C2^2*0.785</f>
        <v>3278.1507881882799</v>
      </c>
      <c r="G2">
        <f>A2/100*C2^2*0.785</f>
        <v>0.1037389489933</v>
      </c>
      <c r="H2">
        <f>7900/G2</f>
        <v>76152.689772384561</v>
      </c>
    </row>
    <row r="3" spans="1:8">
      <c r="A3">
        <v>10</v>
      </c>
      <c r="B3" t="s">
        <v>38</v>
      </c>
      <c r="C3" s="2">
        <f>VLOOKUP($B3,'Hemery-Variabelen'!$A$5:$C$16,3,FALSE)*(Hemery_onder_elkaar!A3/100)+VLOOKUP($B3,'Hemery-Variabelen'!$A$5:$C$16,2,FALSE)</f>
        <v>2.55959</v>
      </c>
      <c r="D3" s="2">
        <f t="shared" ref="D3:D48" si="0">C3/(A3/100)</f>
        <v>25.5959</v>
      </c>
      <c r="E3" s="4">
        <f t="shared" ref="E3:E66" si="1">10^4/C3^2</f>
        <v>1526.3677817787302</v>
      </c>
      <c r="F3">
        <f t="shared" ref="F3:F66" si="2">10000*79%/A3*C3^2*0.785</f>
        <v>4062.9133253672153</v>
      </c>
      <c r="G3">
        <f t="shared" ref="G3:G66" si="3">A3/100*C3^2*0.785</f>
        <v>0.51429282599585002</v>
      </c>
      <c r="H3">
        <f t="shared" ref="H3:H66" si="4">7900/G3</f>
        <v>15360.898695607602</v>
      </c>
    </row>
    <row r="4" spans="1:8">
      <c r="A4">
        <v>15</v>
      </c>
      <c r="B4" t="s">
        <v>38</v>
      </c>
      <c r="C4" s="2">
        <f>VLOOKUP($B4,'Hemery-Variabelen'!$A$5:$C$16,3,FALSE)*(Hemery_onder_elkaar!A4/100)+VLOOKUP($B4,'Hemery-Variabelen'!$A$5:$C$16,2,FALSE)</f>
        <v>3.4934399999999997</v>
      </c>
      <c r="D4" s="2">
        <f t="shared" si="0"/>
        <v>23.2896</v>
      </c>
      <c r="E4" s="4">
        <f t="shared" si="1"/>
        <v>819.39521360677224</v>
      </c>
      <c r="F4">
        <f>10000*79%/A4*C4^2*0.785</f>
        <v>5045.591266191359</v>
      </c>
      <c r="G4">
        <f t="shared" si="3"/>
        <v>1.4370354872064</v>
      </c>
      <c r="H4">
        <f t="shared" si="4"/>
        <v>5497.4286093363062</v>
      </c>
    </row>
    <row r="5" spans="1:8">
      <c r="A5">
        <v>20</v>
      </c>
      <c r="B5" t="s">
        <v>38</v>
      </c>
      <c r="C5" s="2">
        <f>VLOOKUP($B5,'Hemery-Variabelen'!$A$5:$C$16,3,FALSE)*(Hemery_onder_elkaar!A5/100)+VLOOKUP($B5,'Hemery-Variabelen'!$A$5:$C$16,2,FALSE)</f>
        <v>4.4272900000000002</v>
      </c>
      <c r="D5" s="2">
        <f t="shared" si="0"/>
        <v>22.13645</v>
      </c>
      <c r="E5" s="4">
        <f t="shared" si="1"/>
        <v>510.18073971590434</v>
      </c>
      <c r="F5">
        <f t="shared" si="2"/>
        <v>6077.7480579268085</v>
      </c>
      <c r="G5">
        <f t="shared" si="3"/>
        <v>3.0773407888237005</v>
      </c>
      <c r="H5">
        <f t="shared" si="4"/>
        <v>2567.1514928379897</v>
      </c>
    </row>
    <row r="6" spans="1:8">
      <c r="A6">
        <v>25</v>
      </c>
      <c r="B6" t="s">
        <v>38</v>
      </c>
      <c r="C6" s="2">
        <f>VLOOKUP($B6,'Hemery-Variabelen'!$A$5:$C$16,3,FALSE)*(Hemery_onder_elkaar!A6/100)+VLOOKUP($B6,'Hemery-Variabelen'!$A$5:$C$16,2,FALSE)</f>
        <v>5.3611399999999998</v>
      </c>
      <c r="D6" s="2">
        <f t="shared" si="0"/>
        <v>21.444559999999999</v>
      </c>
      <c r="E6" s="4">
        <f t="shared" si="1"/>
        <v>347.92505378909749</v>
      </c>
      <c r="F6">
        <f t="shared" si="2"/>
        <v>7129.6963900267765</v>
      </c>
      <c r="G6">
        <f t="shared" si="3"/>
        <v>5.6405825870464996</v>
      </c>
      <c r="H6">
        <f t="shared" si="4"/>
        <v>1400.564547737004</v>
      </c>
    </row>
    <row r="7" spans="1:8">
      <c r="A7">
        <v>30</v>
      </c>
      <c r="B7" t="s">
        <v>38</v>
      </c>
      <c r="C7" s="2">
        <f>VLOOKUP($B7,'Hemery-Variabelen'!$A$5:$C$16,3,FALSE)*(Hemery_onder_elkaar!A7/100)+VLOOKUP($B7,'Hemery-Variabelen'!$A$5:$C$16,2,FALSE)</f>
        <v>6.2949899999999994</v>
      </c>
      <c r="D7" s="2">
        <f t="shared" si="0"/>
        <v>20.9833</v>
      </c>
      <c r="E7" s="4">
        <f t="shared" si="1"/>
        <v>252.35383608339839</v>
      </c>
      <c r="F7">
        <f t="shared" si="2"/>
        <v>8191.5404923090027</v>
      </c>
      <c r="G7">
        <f t="shared" si="3"/>
        <v>9.3321347380735489</v>
      </c>
      <c r="H7">
        <f t="shared" si="4"/>
        <v>846.53728452604969</v>
      </c>
    </row>
    <row r="8" spans="1:8">
      <c r="A8">
        <v>35</v>
      </c>
      <c r="B8" t="s">
        <v>38</v>
      </c>
      <c r="C8" s="2">
        <f>VLOOKUP($B8,'Hemery-Variabelen'!$A$5:$C$16,3,FALSE)*(Hemery_onder_elkaar!A8/100)+VLOOKUP($B8,'Hemery-Variabelen'!$A$5:$C$16,2,FALSE)</f>
        <v>7.228839999999999</v>
      </c>
      <c r="D8" s="2">
        <f t="shared" si="0"/>
        <v>20.653828571428569</v>
      </c>
      <c r="E8" s="4">
        <f t="shared" si="1"/>
        <v>191.36511699992946</v>
      </c>
      <c r="F8">
        <f t="shared" si="2"/>
        <v>9259.0393204096654</v>
      </c>
      <c r="G8">
        <f t="shared" si="3"/>
        <v>14.357371098103595</v>
      </c>
      <c r="H8">
        <f t="shared" si="4"/>
        <v>550.24000884420116</v>
      </c>
    </row>
    <row r="9" spans="1:8">
      <c r="A9">
        <v>40</v>
      </c>
      <c r="B9" t="s">
        <v>38</v>
      </c>
      <c r="C9" s="2">
        <f>VLOOKUP($B9,'Hemery-Variabelen'!$A$5:$C$16,3,FALSE)*(Hemery_onder_elkaar!A9/100)+VLOOKUP($B9,'Hemery-Variabelen'!$A$5:$C$16,2,FALSE)</f>
        <v>8.1626900000000013</v>
      </c>
      <c r="D9" s="2">
        <f t="shared" si="0"/>
        <v>20.406725000000002</v>
      </c>
      <c r="E9" s="4">
        <f t="shared" si="1"/>
        <v>150.08365354554286</v>
      </c>
      <c r="F9">
        <f t="shared" si="2"/>
        <v>10330.072352146857</v>
      </c>
      <c r="G9">
        <f t="shared" si="3"/>
        <v>20.921665523335406</v>
      </c>
      <c r="H9">
        <f t="shared" si="4"/>
        <v>377.59900095853141</v>
      </c>
    </row>
    <row r="10" spans="1:8">
      <c r="A10">
        <v>45</v>
      </c>
      <c r="B10" t="s">
        <v>38</v>
      </c>
      <c r="C10" s="2">
        <f>VLOOKUP($B10,'Hemery-Variabelen'!$A$5:$C$16,3,FALSE)*(Hemery_onder_elkaar!A10/100)+VLOOKUP($B10,'Hemery-Variabelen'!$A$5:$C$16,2,FALSE)</f>
        <v>9.096540000000001</v>
      </c>
      <c r="D10" s="2">
        <f t="shared" si="0"/>
        <v>20.214533333333335</v>
      </c>
      <c r="E10" s="4">
        <f t="shared" si="1"/>
        <v>120.85024435233146</v>
      </c>
      <c r="F10">
        <f t="shared" si="2"/>
        <v>11403.461519641722</v>
      </c>
      <c r="G10">
        <f t="shared" si="3"/>
        <v>29.230391869967708</v>
      </c>
      <c r="H10">
        <f t="shared" si="4"/>
        <v>270.26664695921255</v>
      </c>
    </row>
    <row r="11" spans="1:8">
      <c r="A11">
        <v>50</v>
      </c>
      <c r="B11" t="s">
        <v>38</v>
      </c>
      <c r="C11" s="2">
        <f>VLOOKUP($B11,'Hemery-Variabelen'!$A$5:$C$16,3,FALSE)*(Hemery_onder_elkaar!A11/100)+VLOOKUP($B11,'Hemery-Variabelen'!$A$5:$C$16,2,FALSE)</f>
        <v>10.030390000000001</v>
      </c>
      <c r="D11" s="2">
        <f t="shared" si="0"/>
        <v>20.060780000000001</v>
      </c>
      <c r="E11" s="4">
        <f t="shared" si="1"/>
        <v>99.394959472093106</v>
      </c>
      <c r="F11">
        <f t="shared" si="2"/>
        <v>12478.499982166966</v>
      </c>
      <c r="G11">
        <f t="shared" si="3"/>
        <v>39.488923994199261</v>
      </c>
      <c r="H11">
        <f t="shared" si="4"/>
        <v>200.05609677185615</v>
      </c>
    </row>
    <row r="12" spans="1:8">
      <c r="A12">
        <v>55</v>
      </c>
      <c r="B12" t="s">
        <v>38</v>
      </c>
      <c r="C12" s="2">
        <f>VLOOKUP($B12,'Hemery-Variabelen'!$A$5:$C$16,3,FALSE)*(Hemery_onder_elkaar!A12/100)+VLOOKUP($B12,'Hemery-Variabelen'!$A$5:$C$16,2,FALSE)</f>
        <v>10.964240000000002</v>
      </c>
      <c r="D12" s="2">
        <f t="shared" si="0"/>
        <v>19.934981818181821</v>
      </c>
      <c r="E12" s="4">
        <f t="shared" si="1"/>
        <v>83.184600115700221</v>
      </c>
      <c r="F12">
        <f t="shared" si="2"/>
        <v>13554.737931987029</v>
      </c>
      <c r="G12">
        <f t="shared" si="3"/>
        <v>51.902635752228825</v>
      </c>
      <c r="H12">
        <f t="shared" si="4"/>
        <v>152.20806969635939</v>
      </c>
    </row>
    <row r="13" spans="1:8">
      <c r="A13">
        <v>60</v>
      </c>
      <c r="B13" t="s">
        <v>38</v>
      </c>
      <c r="C13" s="2">
        <f>VLOOKUP($B13,'Hemery-Variabelen'!$A$5:$C$16,3,FALSE)*(Hemery_onder_elkaar!A13/100)+VLOOKUP($B13,'Hemery-Variabelen'!$A$5:$C$16,2,FALSE)</f>
        <v>11.89809</v>
      </c>
      <c r="D13" s="2">
        <f t="shared" si="0"/>
        <v>19.83015</v>
      </c>
      <c r="E13" s="4">
        <f t="shared" si="1"/>
        <v>70.639155829722498</v>
      </c>
      <c r="F13">
        <f t="shared" si="2"/>
        <v>14631.875497278203</v>
      </c>
      <c r="G13">
        <f t="shared" si="3"/>
        <v>66.6769010002551</v>
      </c>
      <c r="H13">
        <f t="shared" si="4"/>
        <v>118.48181126429039</v>
      </c>
    </row>
    <row r="14" spans="1:8">
      <c r="A14">
        <v>65</v>
      </c>
      <c r="B14" t="s">
        <v>38</v>
      </c>
      <c r="C14" s="2">
        <f>VLOOKUP($B14,'Hemery-Variabelen'!$A$5:$C$16,3,FALSE)*(Hemery_onder_elkaar!A14/100)+VLOOKUP($B14,'Hemery-Variabelen'!$A$5:$C$16,2,FALSE)</f>
        <v>12.831940000000001</v>
      </c>
      <c r="D14" s="2">
        <f t="shared" si="0"/>
        <v>19.741446153846155</v>
      </c>
      <c r="E14" s="4">
        <f t="shared" si="1"/>
        <v>60.731689013525049</v>
      </c>
      <c r="F14">
        <f t="shared" si="2"/>
        <v>15709.705074470241</v>
      </c>
      <c r="G14">
        <f t="shared" si="3"/>
        <v>84.017093594476933</v>
      </c>
      <c r="H14">
        <f t="shared" si="4"/>
        <v>94.028484704918739</v>
      </c>
    </row>
    <row r="15" spans="1:8">
      <c r="A15">
        <v>70</v>
      </c>
      <c r="B15" t="s">
        <v>38</v>
      </c>
      <c r="C15" s="2">
        <f>VLOOKUP($B15,'Hemery-Variabelen'!$A$5:$C$16,3,FALSE)*(Hemery_onder_elkaar!A15/100)+VLOOKUP($B15,'Hemery-Variabelen'!$A$5:$C$16,2,FALSE)</f>
        <v>13.765789999999999</v>
      </c>
      <c r="D15" s="2">
        <f t="shared" si="0"/>
        <v>19.665414285714284</v>
      </c>
      <c r="E15" s="4">
        <f t="shared" si="1"/>
        <v>52.771291128357682</v>
      </c>
      <c r="F15">
        <f t="shared" si="2"/>
        <v>16788.078375298657</v>
      </c>
      <c r="G15">
        <f t="shared" si="3"/>
        <v>104.12858739109294</v>
      </c>
      <c r="H15">
        <f t="shared" si="4"/>
        <v>75.867734288266732</v>
      </c>
    </row>
    <row r="16" spans="1:8">
      <c r="A16">
        <v>75</v>
      </c>
      <c r="B16" t="s">
        <v>38</v>
      </c>
      <c r="C16" s="2">
        <f>VLOOKUP($B16,'Hemery-Variabelen'!$A$5:$C$16,3,FALSE)*(Hemery_onder_elkaar!A16/100)+VLOOKUP($B16,'Hemery-Variabelen'!$A$5:$C$16,2,FALSE)</f>
        <v>14.69964</v>
      </c>
      <c r="D16" s="2">
        <f t="shared" si="0"/>
        <v>19.599520000000002</v>
      </c>
      <c r="E16" s="4">
        <f t="shared" si="1"/>
        <v>46.279280919577289</v>
      </c>
      <c r="F16">
        <f t="shared" si="2"/>
        <v>17866.886655036193</v>
      </c>
      <c r="G16">
        <f t="shared" si="3"/>
        <v>127.21675624630201</v>
      </c>
      <c r="H16">
        <f t="shared" si="4"/>
        <v>62.098737879347873</v>
      </c>
    </row>
    <row r="17" spans="1:8">
      <c r="A17">
        <v>80</v>
      </c>
      <c r="B17" t="s">
        <v>38</v>
      </c>
      <c r="C17" s="2">
        <f>VLOOKUP($B17,'Hemery-Variabelen'!$A$5:$C$16,3,FALSE)*(Hemery_onder_elkaar!A17/100)+VLOOKUP($B17,'Hemery-Variabelen'!$A$5:$C$16,2,FALSE)</f>
        <v>15.633490000000002</v>
      </c>
      <c r="D17" s="2">
        <f t="shared" si="0"/>
        <v>19.541862500000001</v>
      </c>
      <c r="E17" s="4">
        <f t="shared" si="1"/>
        <v>40.915524201636558</v>
      </c>
      <c r="F17">
        <f t="shared" si="2"/>
        <v>18946.04835513738</v>
      </c>
      <c r="G17">
        <f t="shared" si="3"/>
        <v>153.48697401630287</v>
      </c>
      <c r="H17">
        <f t="shared" si="4"/>
        <v>51.470165795052345</v>
      </c>
    </row>
    <row r="18" spans="1:8">
      <c r="A18">
        <v>5</v>
      </c>
      <c r="B18" t="s">
        <v>39</v>
      </c>
      <c r="C18" s="2">
        <f>VLOOKUP($B18,'Hemery-Variabelen'!$A$5:$C$16,3,FALSE)*(Hemery_onder_elkaar!A18/100)+VLOOKUP($B18,'Hemery-Variabelen'!$A$5:$C$16,2,FALSE)</f>
        <v>1.7827999999999999</v>
      </c>
      <c r="D18" s="2">
        <f t="shared" si="0"/>
        <v>35.655999999999999</v>
      </c>
      <c r="E18" s="4">
        <f t="shared" si="1"/>
        <v>3146.2610161295465</v>
      </c>
      <c r="F18">
        <f t="shared" si="2"/>
        <v>3942.1395543519993</v>
      </c>
      <c r="G18">
        <f t="shared" si="3"/>
        <v>0.12475125172000001</v>
      </c>
      <c r="H18">
        <f t="shared" si="4"/>
        <v>63326.01790426347</v>
      </c>
    </row>
    <row r="19" spans="1:8">
      <c r="A19">
        <v>10</v>
      </c>
      <c r="B19" t="s">
        <v>39</v>
      </c>
      <c r="C19" s="2">
        <f>VLOOKUP($B19,'Hemery-Variabelen'!$A$5:$C$16,3,FALSE)*(Hemery_onder_elkaar!A19/100)+VLOOKUP($B19,'Hemery-Variabelen'!$A$5:$C$16,2,FALSE)</f>
        <v>2.59036</v>
      </c>
      <c r="D19" s="2">
        <f t="shared" si="0"/>
        <v>25.903599999999997</v>
      </c>
      <c r="E19" s="4">
        <f t="shared" si="1"/>
        <v>1490.320755014159</v>
      </c>
      <c r="F19">
        <f t="shared" si="2"/>
        <v>4161.1847510914404</v>
      </c>
      <c r="G19">
        <f t="shared" si="3"/>
        <v>0.5267322469736001</v>
      </c>
      <c r="H19">
        <f t="shared" si="4"/>
        <v>14998.132438995992</v>
      </c>
    </row>
    <row r="20" spans="1:8">
      <c r="A20">
        <v>15</v>
      </c>
      <c r="B20" t="s">
        <v>39</v>
      </c>
      <c r="C20" s="2">
        <f>VLOOKUP($B20,'Hemery-Variabelen'!$A$5:$C$16,3,FALSE)*(Hemery_onder_elkaar!A20/100)+VLOOKUP($B20,'Hemery-Variabelen'!$A$5:$C$16,2,FALSE)</f>
        <v>3.3979199999999996</v>
      </c>
      <c r="D20" s="2">
        <f t="shared" si="0"/>
        <v>22.652799999999999</v>
      </c>
      <c r="E20" s="4">
        <f t="shared" si="1"/>
        <v>866.11129160593293</v>
      </c>
      <c r="F20">
        <f t="shared" si="2"/>
        <v>4773.4435209446383</v>
      </c>
      <c r="G20">
        <f t="shared" si="3"/>
        <v>1.3595250534335996</v>
      </c>
      <c r="H20">
        <f t="shared" si="4"/>
        <v>5810.8528269102935</v>
      </c>
    </row>
    <row r="21" spans="1:8">
      <c r="A21">
        <v>20</v>
      </c>
      <c r="B21" t="s">
        <v>39</v>
      </c>
      <c r="C21" s="2">
        <f>VLOOKUP($B21,'Hemery-Variabelen'!$A$5:$C$16,3,FALSE)*(Hemery_onder_elkaar!A21/100)+VLOOKUP($B21,'Hemery-Variabelen'!$A$5:$C$16,2,FALSE)</f>
        <v>4.2054800000000006</v>
      </c>
      <c r="D21" s="2">
        <f t="shared" si="0"/>
        <v>21.0274</v>
      </c>
      <c r="E21" s="4">
        <f t="shared" si="1"/>
        <v>565.41699236445743</v>
      </c>
      <c r="F21">
        <f t="shared" si="2"/>
        <v>5484.0056840762818</v>
      </c>
      <c r="G21">
        <f t="shared" si="3"/>
        <v>2.7767117387728013</v>
      </c>
      <c r="H21">
        <f t="shared" si="4"/>
        <v>2845.0918724071421</v>
      </c>
    </row>
    <row r="22" spans="1:8">
      <c r="A22">
        <v>25</v>
      </c>
      <c r="B22" t="s">
        <v>39</v>
      </c>
      <c r="C22" s="2">
        <f>VLOOKUP($B22,'Hemery-Variabelen'!$A$5:$C$16,3,FALSE)*(Hemery_onder_elkaar!A22/100)+VLOOKUP($B22,'Hemery-Variabelen'!$A$5:$C$16,2,FALSE)</f>
        <v>5.0130400000000002</v>
      </c>
      <c r="D22" s="2">
        <f t="shared" si="0"/>
        <v>20.052160000000001</v>
      </c>
      <c r="E22" s="4">
        <f t="shared" si="1"/>
        <v>397.92173370705302</v>
      </c>
      <c r="F22">
        <f t="shared" si="2"/>
        <v>6233.889204519297</v>
      </c>
      <c r="G22">
        <f t="shared" si="3"/>
        <v>4.9318743706640005</v>
      </c>
      <c r="H22">
        <f t="shared" si="4"/>
        <v>1601.825068171067</v>
      </c>
    </row>
    <row r="23" spans="1:8">
      <c r="A23">
        <v>30</v>
      </c>
      <c r="B23" t="s">
        <v>39</v>
      </c>
      <c r="C23" s="2">
        <f>VLOOKUP($B23,'Hemery-Variabelen'!$A$5:$C$16,3,FALSE)*(Hemery_onder_elkaar!A23/100)+VLOOKUP($B23,'Hemery-Variabelen'!$A$5:$C$16,2,FALSE)</f>
        <v>5.8205999999999998</v>
      </c>
      <c r="D23" s="2">
        <f t="shared" si="0"/>
        <v>19.402000000000001</v>
      </c>
      <c r="E23" s="4">
        <f t="shared" si="1"/>
        <v>295.16474956394399</v>
      </c>
      <c r="F23">
        <f t="shared" si="2"/>
        <v>7003.4334036179989</v>
      </c>
      <c r="G23">
        <f t="shared" si="3"/>
        <v>7.978595016779999</v>
      </c>
      <c r="H23">
        <f t="shared" si="4"/>
        <v>990.14926605314542</v>
      </c>
    </row>
    <row r="24" spans="1:8">
      <c r="A24">
        <v>35</v>
      </c>
      <c r="B24" t="s">
        <v>39</v>
      </c>
      <c r="C24" s="2">
        <f>VLOOKUP($B24,'Hemery-Variabelen'!$A$5:$C$16,3,FALSE)*(Hemery_onder_elkaar!A24/100)+VLOOKUP($B24,'Hemery-Variabelen'!$A$5:$C$16,2,FALSE)</f>
        <v>6.6281599999999994</v>
      </c>
      <c r="D24" s="2">
        <f t="shared" si="0"/>
        <v>18.9376</v>
      </c>
      <c r="E24" s="4">
        <f t="shared" si="1"/>
        <v>227.62189415963778</v>
      </c>
      <c r="F24">
        <f t="shared" si="2"/>
        <v>7784.2122762342387</v>
      </c>
      <c r="G24">
        <f t="shared" si="3"/>
        <v>12.070455744793598</v>
      </c>
      <c r="H24">
        <f t="shared" si="4"/>
        <v>654.49061469013225</v>
      </c>
    </row>
    <row r="25" spans="1:8">
      <c r="A25">
        <v>40</v>
      </c>
      <c r="B25" t="s">
        <v>39</v>
      </c>
      <c r="C25" s="2">
        <f>VLOOKUP($B25,'Hemery-Variabelen'!$A$5:$C$16,3,FALSE)*(Hemery_onder_elkaar!A25/100)+VLOOKUP($B25,'Hemery-Variabelen'!$A$5:$C$16,2,FALSE)</f>
        <v>7.4357200000000008</v>
      </c>
      <c r="D25" s="2">
        <f t="shared" si="0"/>
        <v>18.589300000000001</v>
      </c>
      <c r="E25" s="4">
        <f t="shared" si="1"/>
        <v>180.86475517384542</v>
      </c>
      <c r="F25">
        <f t="shared" si="2"/>
        <v>8572.0128197989434</v>
      </c>
      <c r="G25">
        <f t="shared" si="3"/>
        <v>17.361038622377606</v>
      </c>
      <c r="H25">
        <f t="shared" si="4"/>
        <v>455.04189995967477</v>
      </c>
    </row>
    <row r="26" spans="1:8">
      <c r="A26">
        <v>45</v>
      </c>
      <c r="B26" t="s">
        <v>39</v>
      </c>
      <c r="C26" s="2">
        <f>VLOOKUP($B26,'Hemery-Variabelen'!$A$5:$C$16,3,FALSE)*(Hemery_onder_elkaar!A26/100)+VLOOKUP($B26,'Hemery-Variabelen'!$A$5:$C$16,2,FALSE)</f>
        <v>8.2432800000000004</v>
      </c>
      <c r="D26" s="2">
        <f t="shared" si="0"/>
        <v>18.3184</v>
      </c>
      <c r="E26" s="4">
        <f t="shared" si="1"/>
        <v>147.16342824990841</v>
      </c>
      <c r="F26">
        <f t="shared" si="2"/>
        <v>9364.4944773292809</v>
      </c>
      <c r="G26">
        <f t="shared" si="3"/>
        <v>24.003925717204801</v>
      </c>
      <c r="H26">
        <f t="shared" si="4"/>
        <v>329.11283317035424</v>
      </c>
    </row>
    <row r="27" spans="1:8">
      <c r="A27">
        <v>50</v>
      </c>
      <c r="B27" t="s">
        <v>39</v>
      </c>
      <c r="C27" s="2">
        <f>VLOOKUP($B27,'Hemery-Variabelen'!$A$5:$C$16,3,FALSE)*(Hemery_onder_elkaar!A27/100)+VLOOKUP($B27,'Hemery-Variabelen'!$A$5:$C$16,2,FALSE)</f>
        <v>9.0508399999999991</v>
      </c>
      <c r="D27" s="2">
        <f t="shared" si="0"/>
        <v>18.101679999999998</v>
      </c>
      <c r="E27" s="4">
        <f t="shared" si="1"/>
        <v>122.07373285101808</v>
      </c>
      <c r="F27">
        <f t="shared" si="2"/>
        <v>10160.252914635566</v>
      </c>
      <c r="G27">
        <f t="shared" si="3"/>
        <v>32.152699096947998</v>
      </c>
      <c r="H27">
        <f t="shared" si="4"/>
        <v>245.70254510141217</v>
      </c>
    </row>
    <row r="28" spans="1:8">
      <c r="A28">
        <v>55</v>
      </c>
      <c r="B28" t="s">
        <v>39</v>
      </c>
      <c r="C28" s="2">
        <f>VLOOKUP($B28,'Hemery-Variabelen'!$A$5:$C$16,3,FALSE)*(Hemery_onder_elkaar!A28/100)+VLOOKUP($B28,'Hemery-Variabelen'!$A$5:$C$16,2,FALSE)</f>
        <v>9.8583999999999996</v>
      </c>
      <c r="D28" s="2">
        <f t="shared" si="0"/>
        <v>17.924363636363633</v>
      </c>
      <c r="E28" s="4">
        <f t="shared" si="1"/>
        <v>102.89330779226199</v>
      </c>
      <c r="F28">
        <f t="shared" si="2"/>
        <v>10958.39446450618</v>
      </c>
      <c r="G28">
        <f t="shared" si="3"/>
        <v>41.960940829280005</v>
      </c>
      <c r="H28">
        <f t="shared" si="4"/>
        <v>188.27032578086153</v>
      </c>
    </row>
    <row r="29" spans="1:8">
      <c r="A29">
        <v>60</v>
      </c>
      <c r="B29" t="s">
        <v>39</v>
      </c>
      <c r="C29" s="2">
        <f>VLOOKUP($B29,'Hemery-Variabelen'!$A$5:$C$16,3,FALSE)*(Hemery_onder_elkaar!A29/100)+VLOOKUP($B29,'Hemery-Variabelen'!$A$5:$C$16,2,FALSE)</f>
        <v>10.665959999999998</v>
      </c>
      <c r="D29" s="2">
        <f t="shared" si="0"/>
        <v>17.776599999999998</v>
      </c>
      <c r="E29" s="4">
        <f t="shared" si="1"/>
        <v>87.902271665187101</v>
      </c>
      <c r="F29">
        <f t="shared" si="2"/>
        <v>11758.323348800037</v>
      </c>
      <c r="G29">
        <f t="shared" si="3"/>
        <v>53.582232981873588</v>
      </c>
      <c r="H29">
        <f t="shared" si="4"/>
        <v>147.43693124309513</v>
      </c>
    </row>
    <row r="30" spans="1:8">
      <c r="A30">
        <v>10</v>
      </c>
      <c r="B30" t="s">
        <v>40</v>
      </c>
      <c r="C30" s="2">
        <f>VLOOKUP($B30,'Hemery-Variabelen'!$A$5:$C$16,3,FALSE)*(Hemery_onder_elkaar!A30/100)+VLOOKUP($B30,'Hemery-Variabelen'!$A$5:$C$16,2,FALSE)</f>
        <v>3.85955</v>
      </c>
      <c r="D30" s="2">
        <f t="shared" si="0"/>
        <v>38.595500000000001</v>
      </c>
      <c r="E30" s="4">
        <f t="shared" si="1"/>
        <v>671.31547249658183</v>
      </c>
      <c r="F30">
        <f t="shared" si="2"/>
        <v>9237.8326644803747</v>
      </c>
      <c r="G30">
        <f t="shared" si="3"/>
        <v>1.16934590689625</v>
      </c>
      <c r="H30">
        <f t="shared" si="4"/>
        <v>6755.9136722585936</v>
      </c>
    </row>
    <row r="31" spans="1:8">
      <c r="A31">
        <v>15</v>
      </c>
      <c r="B31" t="s">
        <v>40</v>
      </c>
      <c r="C31" s="2">
        <f>VLOOKUP($B31,'Hemery-Variabelen'!$A$5:$C$16,3,FALSE)*(Hemery_onder_elkaar!A31/100)+VLOOKUP($B31,'Hemery-Variabelen'!$A$5:$C$16,2,FALSE)</f>
        <v>4.39297</v>
      </c>
      <c r="D31" s="2">
        <f t="shared" si="0"/>
        <v>29.286466666666669</v>
      </c>
      <c r="E31" s="4">
        <f t="shared" si="1"/>
        <v>518.18343444715617</v>
      </c>
      <c r="F31">
        <f t="shared" si="2"/>
        <v>7978.5131258474239</v>
      </c>
      <c r="G31">
        <f t="shared" si="3"/>
        <v>2.2723613333109753</v>
      </c>
      <c r="H31">
        <f t="shared" si="4"/>
        <v>3476.5597725117054</v>
      </c>
    </row>
    <row r="32" spans="1:8">
      <c r="A32">
        <v>20</v>
      </c>
      <c r="B32" t="s">
        <v>40</v>
      </c>
      <c r="C32" s="2">
        <f>VLOOKUP($B32,'Hemery-Variabelen'!$A$5:$C$16,3,FALSE)*(Hemery_onder_elkaar!A32/100)+VLOOKUP($B32,'Hemery-Variabelen'!$A$5:$C$16,2,FALSE)</f>
        <v>4.9263899999999996</v>
      </c>
      <c r="D32" s="2">
        <f t="shared" si="0"/>
        <v>24.631949999999996</v>
      </c>
      <c r="E32" s="4">
        <f t="shared" si="1"/>
        <v>412.04288566972792</v>
      </c>
      <c r="F32">
        <f t="shared" si="2"/>
        <v>7525.3089128334077</v>
      </c>
      <c r="G32">
        <f t="shared" si="3"/>
        <v>3.8102829938396998</v>
      </c>
      <c r="H32">
        <f t="shared" si="4"/>
        <v>2073.3368132425799</v>
      </c>
    </row>
    <row r="33" spans="1:8">
      <c r="A33">
        <v>25</v>
      </c>
      <c r="B33" t="s">
        <v>40</v>
      </c>
      <c r="C33" s="2">
        <f>VLOOKUP($B33,'Hemery-Variabelen'!$A$5:$C$16,3,FALSE)*(Hemery_onder_elkaar!A33/100)+VLOOKUP($B33,'Hemery-Variabelen'!$A$5:$C$16,2,FALSE)</f>
        <v>5.4598100000000001</v>
      </c>
      <c r="D33" s="2">
        <f t="shared" si="0"/>
        <v>21.83924</v>
      </c>
      <c r="E33" s="4">
        <f t="shared" si="1"/>
        <v>335.46324273188276</v>
      </c>
      <c r="F33">
        <f t="shared" si="2"/>
        <v>7394.5508300669662</v>
      </c>
      <c r="G33">
        <f t="shared" si="3"/>
        <v>5.8501193275846255</v>
      </c>
      <c r="H33">
        <f t="shared" si="4"/>
        <v>1350.3998051372605</v>
      </c>
    </row>
    <row r="34" spans="1:8">
      <c r="A34">
        <v>30</v>
      </c>
      <c r="B34" t="s">
        <v>40</v>
      </c>
      <c r="C34" s="2">
        <f>VLOOKUP($B34,'Hemery-Variabelen'!$A$5:$C$16,3,FALSE)*(Hemery_onder_elkaar!A34/100)+VLOOKUP($B34,'Hemery-Variabelen'!$A$5:$C$16,2,FALSE)</f>
        <v>5.9932300000000005</v>
      </c>
      <c r="D34" s="2">
        <f t="shared" si="0"/>
        <v>19.977433333333337</v>
      </c>
      <c r="E34" s="4">
        <f t="shared" si="1"/>
        <v>278.40569217477855</v>
      </c>
      <c r="F34">
        <f t="shared" si="2"/>
        <v>7425.0158124243126</v>
      </c>
      <c r="G34">
        <f t="shared" si="3"/>
        <v>8.4588787736479514</v>
      </c>
      <c r="H34">
        <f t="shared" si="4"/>
        <v>933.92992279437397</v>
      </c>
    </row>
    <row r="35" spans="1:8">
      <c r="A35">
        <v>35</v>
      </c>
      <c r="B35" t="s">
        <v>40</v>
      </c>
      <c r="C35" s="2">
        <f>VLOOKUP($B35,'Hemery-Variabelen'!$A$5:$C$16,3,FALSE)*(Hemery_onder_elkaar!A35/100)+VLOOKUP($B35,'Hemery-Variabelen'!$A$5:$C$16,2,FALSE)</f>
        <v>6.5266500000000001</v>
      </c>
      <c r="D35" s="2">
        <f t="shared" si="0"/>
        <v>18.647571428571428</v>
      </c>
      <c r="E35" s="4">
        <f t="shared" si="1"/>
        <v>234.7574333069733</v>
      </c>
      <c r="F35">
        <f t="shared" si="2"/>
        <v>7547.6082605666797</v>
      </c>
      <c r="G35">
        <f t="shared" si="3"/>
        <v>11.703569771131875</v>
      </c>
      <c r="H35">
        <f t="shared" si="4"/>
        <v>675.00772452232547</v>
      </c>
    </row>
    <row r="36" spans="1:8">
      <c r="A36">
        <v>40</v>
      </c>
      <c r="B36" t="s">
        <v>40</v>
      </c>
      <c r="C36" s="2">
        <f>VLOOKUP($B36,'Hemery-Variabelen'!$A$5:$C$16,3,FALSE)*(Hemery_onder_elkaar!A36/100)+VLOOKUP($B36,'Hemery-Variabelen'!$A$5:$C$16,2,FALSE)</f>
        <v>7.0600699999999996</v>
      </c>
      <c r="D36" s="2">
        <f t="shared" si="0"/>
        <v>17.650174999999997</v>
      </c>
      <c r="E36" s="4">
        <f t="shared" si="1"/>
        <v>200.62358462602825</v>
      </c>
      <c r="F36">
        <f t="shared" si="2"/>
        <v>7727.7803748246824</v>
      </c>
      <c r="G36">
        <f t="shared" si="3"/>
        <v>15.651200759138598</v>
      </c>
      <c r="H36">
        <f t="shared" si="4"/>
        <v>504.75360463236404</v>
      </c>
    </row>
    <row r="37" spans="1:8">
      <c r="A37">
        <v>45</v>
      </c>
      <c r="B37" t="s">
        <v>40</v>
      </c>
      <c r="C37" s="2">
        <f>VLOOKUP($B37,'Hemery-Variabelen'!$A$5:$C$16,3,FALSE)*(Hemery_onder_elkaar!A37/100)+VLOOKUP($B37,'Hemery-Variabelen'!$A$5:$C$16,2,FALSE)</f>
        <v>7.593490000000001</v>
      </c>
      <c r="D37" s="2">
        <f t="shared" si="0"/>
        <v>16.874422222222226</v>
      </c>
      <c r="E37" s="4">
        <f t="shared" si="1"/>
        <v>173.42717479118636</v>
      </c>
      <c r="F37">
        <f t="shared" si="2"/>
        <v>7946.3389331597828</v>
      </c>
      <c r="G37">
        <f t="shared" si="3"/>
        <v>20.368780176770329</v>
      </c>
      <c r="H37">
        <f t="shared" si="4"/>
        <v>387.84845883945434</v>
      </c>
    </row>
    <row r="38" spans="1:8">
      <c r="A38">
        <v>50</v>
      </c>
      <c r="B38" t="s">
        <v>40</v>
      </c>
      <c r="C38" s="2">
        <f>VLOOKUP($B38,'Hemery-Variabelen'!$A$5:$C$16,3,FALSE)*(Hemery_onder_elkaar!A38/100)+VLOOKUP($B38,'Hemery-Variabelen'!$A$5:$C$16,2,FALSE)</f>
        <v>8.1269100000000005</v>
      </c>
      <c r="D38" s="2">
        <f t="shared" si="0"/>
        <v>16.253820000000001</v>
      </c>
      <c r="E38" s="4">
        <f t="shared" si="1"/>
        <v>151.40809647494487</v>
      </c>
      <c r="F38">
        <f t="shared" si="2"/>
        <v>8191.7680023488438</v>
      </c>
      <c r="G38">
        <f t="shared" si="3"/>
        <v>25.92331646312925</v>
      </c>
      <c r="H38">
        <f t="shared" si="4"/>
        <v>304.7449585100801</v>
      </c>
    </row>
    <row r="39" spans="1:8">
      <c r="A39">
        <v>55</v>
      </c>
      <c r="B39" t="s">
        <v>40</v>
      </c>
      <c r="C39" s="2">
        <f>VLOOKUP($B39,'Hemery-Variabelen'!$A$5:$C$16,3,FALSE)*(Hemery_onder_elkaar!A39/100)+VLOOKUP($B39,'Hemery-Variabelen'!$A$5:$C$16,2,FALSE)</f>
        <v>8.6603300000000001</v>
      </c>
      <c r="D39" s="2">
        <f t="shared" si="0"/>
        <v>15.746054545454545</v>
      </c>
      <c r="E39" s="4">
        <f t="shared" si="1"/>
        <v>133.33099433632142</v>
      </c>
      <c r="F39">
        <f t="shared" si="2"/>
        <v>8456.7392612498788</v>
      </c>
      <c r="G39">
        <f t="shared" si="3"/>
        <v>32.381818057317574</v>
      </c>
      <c r="H39">
        <f t="shared" si="4"/>
        <v>243.96406606993381</v>
      </c>
    </row>
    <row r="40" spans="1:8">
      <c r="A40">
        <v>60</v>
      </c>
      <c r="B40" t="s">
        <v>40</v>
      </c>
      <c r="C40" s="2">
        <f>VLOOKUP($B40,'Hemery-Variabelen'!$A$5:$C$16,3,FALSE)*(Hemery_onder_elkaar!A40/100)+VLOOKUP($B40,'Hemery-Variabelen'!$A$5:$C$16,2,FALSE)</f>
        <v>9.1937499999999996</v>
      </c>
      <c r="D40" s="2">
        <f t="shared" si="0"/>
        <v>15.322916666666666</v>
      </c>
      <c r="E40" s="4">
        <f t="shared" si="1"/>
        <v>118.3081381672683</v>
      </c>
      <c r="F40">
        <f t="shared" si="2"/>
        <v>8736.3671624348954</v>
      </c>
      <c r="G40">
        <f t="shared" si="3"/>
        <v>39.811293398437499</v>
      </c>
      <c r="H40">
        <f t="shared" si="4"/>
        <v>198.43615531240332</v>
      </c>
    </row>
    <row r="41" spans="1:8">
      <c r="A41">
        <v>65</v>
      </c>
      <c r="B41" t="s">
        <v>40</v>
      </c>
      <c r="C41" s="2">
        <f>VLOOKUP($B41,'Hemery-Variabelen'!$A$5:$C$16,3,FALSE)*(Hemery_onder_elkaar!A41/100)+VLOOKUP($B41,'Hemery-Variabelen'!$A$5:$C$16,2,FALSE)</f>
        <v>9.727170000000001</v>
      </c>
      <c r="D41" s="2">
        <f t="shared" si="0"/>
        <v>14.964876923076924</v>
      </c>
      <c r="E41" s="4">
        <f t="shared" si="1"/>
        <v>105.68831840459455</v>
      </c>
      <c r="F41">
        <f t="shared" si="2"/>
        <v>9027.2694038383615</v>
      </c>
      <c r="G41">
        <f t="shared" si="3"/>
        <v>48.27875092559124</v>
      </c>
      <c r="H41">
        <f t="shared" si="4"/>
        <v>163.63306524180243</v>
      </c>
    </row>
    <row r="42" spans="1:8">
      <c r="A42">
        <v>70</v>
      </c>
      <c r="B42" t="s">
        <v>40</v>
      </c>
      <c r="C42" s="2">
        <f>VLOOKUP($B42,'Hemery-Variabelen'!$A$5:$C$16,3,FALSE)*(Hemery_onder_elkaar!A42/100)+VLOOKUP($B42,'Hemery-Variabelen'!$A$5:$C$16,2,FALSE)</f>
        <v>10.260589999999999</v>
      </c>
      <c r="D42" s="2">
        <f t="shared" si="0"/>
        <v>14.657985714285713</v>
      </c>
      <c r="E42" s="4">
        <f t="shared" si="1"/>
        <v>94.98506664663033</v>
      </c>
      <c r="F42">
        <f t="shared" si="2"/>
        <v>9327.0300554134574</v>
      </c>
      <c r="G42">
        <f t="shared" si="3"/>
        <v>57.851199077880928</v>
      </c>
      <c r="H42">
        <f t="shared" si="4"/>
        <v>136.55723867304454</v>
      </c>
    </row>
    <row r="43" spans="1:8">
      <c r="A43">
        <v>75</v>
      </c>
      <c r="B43" t="s">
        <v>40</v>
      </c>
      <c r="C43" s="2">
        <f>VLOOKUP($B43,'Hemery-Variabelen'!$A$5:$C$16,3,FALSE)*(Hemery_onder_elkaar!A43/100)+VLOOKUP($B43,'Hemery-Variabelen'!$A$5:$C$16,2,FALSE)</f>
        <v>10.79401</v>
      </c>
      <c r="D43" s="2">
        <f t="shared" si="0"/>
        <v>14.392013333333333</v>
      </c>
      <c r="E43" s="4">
        <f t="shared" si="1"/>
        <v>85.829062310035866</v>
      </c>
      <c r="F43">
        <f t="shared" si="2"/>
        <v>9633.8774351258689</v>
      </c>
      <c r="G43">
        <f t="shared" si="3"/>
        <v>68.59564629440888</v>
      </c>
      <c r="H43">
        <f t="shared" si="4"/>
        <v>115.16765898076999</v>
      </c>
    </row>
    <row r="44" spans="1:8">
      <c r="A44">
        <v>80</v>
      </c>
      <c r="B44" t="s">
        <v>40</v>
      </c>
      <c r="C44" s="2">
        <f>VLOOKUP($B44,'Hemery-Variabelen'!$A$5:$C$16,3,FALSE)*(Hemery_onder_elkaar!A44/100)+VLOOKUP($B44,'Hemery-Variabelen'!$A$5:$C$16,2,FALSE)</f>
        <v>11.32743</v>
      </c>
      <c r="D44" s="2">
        <f t="shared" si="0"/>
        <v>14.1592875</v>
      </c>
      <c r="E44" s="4">
        <f t="shared" si="1"/>
        <v>77.93584094326512</v>
      </c>
      <c r="F44">
        <f t="shared" si="2"/>
        <v>9946.4827814498403</v>
      </c>
      <c r="G44">
        <f t="shared" si="3"/>
        <v>80.579101014277185</v>
      </c>
      <c r="H44">
        <f t="shared" si="4"/>
        <v>98.040309466846253</v>
      </c>
    </row>
    <row r="45" spans="1:8">
      <c r="A45">
        <v>10</v>
      </c>
      <c r="B45" t="s">
        <v>9</v>
      </c>
      <c r="C45" s="2">
        <f>VLOOKUP($B45,'Hemery-Variabelen'!$A$5:$C$16,3,FALSE)*(Hemery_onder_elkaar!A45/100)+VLOOKUP($B45,'Hemery-Variabelen'!$A$5:$C$16,2,FALSE)</f>
        <v>2.6564300000000003</v>
      </c>
      <c r="D45" s="2">
        <f t="shared" si="0"/>
        <v>26.564300000000003</v>
      </c>
      <c r="E45" s="4">
        <f t="shared" si="1"/>
        <v>1417.1089716095119</v>
      </c>
      <c r="F45">
        <f t="shared" si="2"/>
        <v>4376.1631068897359</v>
      </c>
      <c r="G45">
        <f t="shared" si="3"/>
        <v>0.55394469707465022</v>
      </c>
      <c r="H45">
        <f t="shared" si="4"/>
        <v>14261.351434032027</v>
      </c>
    </row>
    <row r="46" spans="1:8">
      <c r="A46">
        <v>15</v>
      </c>
      <c r="B46" t="s">
        <v>9</v>
      </c>
      <c r="C46" s="2">
        <f>VLOOKUP($B46,'Hemery-Variabelen'!$A$5:$C$16,3,FALSE)*(Hemery_onder_elkaar!A46/100)+VLOOKUP($B46,'Hemery-Variabelen'!$A$5:$C$16,2,FALSE)</f>
        <v>3.418085</v>
      </c>
      <c r="D46" s="2">
        <f t="shared" si="0"/>
        <v>22.787233333333333</v>
      </c>
      <c r="E46" s="4">
        <f t="shared" si="1"/>
        <v>855.92218490064511</v>
      </c>
      <c r="F46">
        <f t="shared" si="2"/>
        <v>4830.2677582930555</v>
      </c>
      <c r="G46">
        <f t="shared" si="3"/>
        <v>1.3757091716657437</v>
      </c>
      <c r="H46">
        <f t="shared" si="4"/>
        <v>5742.4927904162178</v>
      </c>
    </row>
    <row r="47" spans="1:8">
      <c r="A47">
        <v>20</v>
      </c>
      <c r="B47" t="s">
        <v>9</v>
      </c>
      <c r="C47" s="2">
        <f>VLOOKUP($B47,'Hemery-Variabelen'!$A$5:$C$16,3,FALSE)*(Hemery_onder_elkaar!A47/100)+VLOOKUP($B47,'Hemery-Variabelen'!$A$5:$C$16,2,FALSE)</f>
        <v>4.1797400000000007</v>
      </c>
      <c r="D47" s="2">
        <f t="shared" si="0"/>
        <v>20.898700000000002</v>
      </c>
      <c r="E47" s="4">
        <f t="shared" si="1"/>
        <v>572.40242526597092</v>
      </c>
      <c r="F47">
        <f t="shared" si="2"/>
        <v>5417.0804719410726</v>
      </c>
      <c r="G47">
        <f t="shared" si="3"/>
        <v>2.7428255554132011</v>
      </c>
      <c r="H47">
        <f t="shared" si="4"/>
        <v>2880.2415029306817</v>
      </c>
    </row>
    <row r="48" spans="1:8">
      <c r="A48">
        <v>25</v>
      </c>
      <c r="B48" t="s">
        <v>9</v>
      </c>
      <c r="C48" s="2">
        <f>VLOOKUP($B48,'Hemery-Variabelen'!$A$5:$C$16,3,FALSE)*(Hemery_onder_elkaar!A48/100)+VLOOKUP($B48,'Hemery-Variabelen'!$A$5:$C$16,2,FALSE)</f>
        <v>4.941395</v>
      </c>
      <c r="D48" s="2">
        <f t="shared" si="0"/>
        <v>19.76558</v>
      </c>
      <c r="E48" s="4">
        <f t="shared" si="1"/>
        <v>409.54427289911922</v>
      </c>
      <c r="F48">
        <f t="shared" si="2"/>
        <v>6056.9764104869619</v>
      </c>
      <c r="G48">
        <f t="shared" si="3"/>
        <v>4.791911717157407</v>
      </c>
      <c r="H48">
        <f t="shared" si="4"/>
        <v>1648.6113405875371</v>
      </c>
    </row>
    <row r="49" spans="1:13">
      <c r="A49">
        <v>30</v>
      </c>
      <c r="B49" t="s">
        <v>9</v>
      </c>
      <c r="C49" s="2">
        <f>VLOOKUP($B49,'Hemery-Variabelen'!$A$5:$C$16,3,FALSE)*(Hemery_onder_elkaar!A49/100)+VLOOKUP($B49,'Hemery-Variabelen'!$A$5:$C$16,2,FALSE)</f>
        <v>5.7030500000000002</v>
      </c>
      <c r="D49" s="2">
        <f t="shared" ref="D49:D97" si="5">C49/(A49/100)</f>
        <v>19.010166666666667</v>
      </c>
      <c r="E49" s="4">
        <f t="shared" si="1"/>
        <v>307.45788947540547</v>
      </c>
      <c r="F49">
        <f t="shared" si="2"/>
        <v>6723.4139614817914</v>
      </c>
      <c r="G49">
        <f t="shared" si="3"/>
        <v>7.6595855257387502</v>
      </c>
      <c r="H49">
        <f t="shared" si="4"/>
        <v>1031.3873999387274</v>
      </c>
    </row>
    <row r="50" spans="1:13">
      <c r="A50">
        <v>35</v>
      </c>
      <c r="B50" t="s">
        <v>9</v>
      </c>
      <c r="C50" s="2">
        <f>VLOOKUP($B50,'Hemery-Variabelen'!$A$5:$C$16,3,FALSE)*(Hemery_onder_elkaar!A50/100)+VLOOKUP($B50,'Hemery-Variabelen'!$A$5:$C$16,2,FALSE)</f>
        <v>6.4647049999999995</v>
      </c>
      <c r="D50" s="2">
        <f t="shared" si="5"/>
        <v>18.470585714285715</v>
      </c>
      <c r="E50" s="4">
        <f t="shared" si="1"/>
        <v>239.27789336978202</v>
      </c>
      <c r="F50">
        <f t="shared" si="2"/>
        <v>7405.0181481617301</v>
      </c>
      <c r="G50">
        <f t="shared" si="3"/>
        <v>11.482464849997616</v>
      </c>
      <c r="H50">
        <f t="shared" si="4"/>
        <v>688.00558967107486</v>
      </c>
    </row>
    <row r="51" spans="1:13">
      <c r="A51">
        <v>40</v>
      </c>
      <c r="B51" t="s">
        <v>9</v>
      </c>
      <c r="C51" s="2">
        <f>VLOOKUP($B51,'Hemery-Variabelen'!$A$5:$C$16,3,FALSE)*(Hemery_onder_elkaar!A51/100)+VLOOKUP($B51,'Hemery-Variabelen'!$A$5:$C$16,2,FALSE)</f>
        <v>7.2263600000000006</v>
      </c>
      <c r="D51" s="2">
        <f t="shared" si="5"/>
        <v>18.065899999999999</v>
      </c>
      <c r="E51" s="4">
        <f t="shared" si="1"/>
        <v>191.49648796018633</v>
      </c>
      <c r="F51">
        <f t="shared" si="2"/>
        <v>8096.1014821448607</v>
      </c>
      <c r="G51">
        <f t="shared" si="3"/>
        <v>16.397167558774402</v>
      </c>
      <c r="H51">
        <f t="shared" si="4"/>
        <v>481.7905270335898</v>
      </c>
    </row>
    <row r="52" spans="1:13">
      <c r="A52">
        <v>45</v>
      </c>
      <c r="B52" t="s">
        <v>9</v>
      </c>
      <c r="C52" s="2">
        <f>VLOOKUP($B52,'Hemery-Variabelen'!$A$5:$C$16,3,FALSE)*(Hemery_onder_elkaar!A52/100)+VLOOKUP($B52,'Hemery-Variabelen'!$A$5:$C$16,2,FALSE)</f>
        <v>7.9880149999999999</v>
      </c>
      <c r="D52" s="2">
        <f t="shared" si="5"/>
        <v>17.751144444444442</v>
      </c>
      <c r="E52" s="4">
        <f t="shared" si="1"/>
        <v>156.71921822034636</v>
      </c>
      <c r="F52">
        <f t="shared" si="2"/>
        <v>8793.5042476634499</v>
      </c>
      <c r="G52">
        <f t="shared" si="3"/>
        <v>22.54031152090948</v>
      </c>
      <c r="H52">
        <f t="shared" si="4"/>
        <v>350.48317733637259</v>
      </c>
    </row>
    <row r="53" spans="1:13">
      <c r="A53">
        <v>50</v>
      </c>
      <c r="B53" t="s">
        <v>9</v>
      </c>
      <c r="C53" s="2">
        <f>VLOOKUP($B53,'Hemery-Variabelen'!$A$5:$C$16,3,FALSE)*(Hemery_onder_elkaar!A53/100)+VLOOKUP($B53,'Hemery-Variabelen'!$A$5:$C$16,2,FALSE)</f>
        <v>8.7496700000000001</v>
      </c>
      <c r="D53" s="2">
        <f t="shared" si="5"/>
        <v>17.49934</v>
      </c>
      <c r="E53" s="4">
        <f t="shared" si="1"/>
        <v>130.62209735036672</v>
      </c>
      <c r="F53">
        <f t="shared" si="2"/>
        <v>9495.3306152568675</v>
      </c>
      <c r="G53">
        <f t="shared" si="3"/>
        <v>30.048514605243248</v>
      </c>
      <c r="H53">
        <f t="shared" si="4"/>
        <v>262.90817046315851</v>
      </c>
    </row>
    <row r="54" spans="1:13">
      <c r="A54">
        <v>55</v>
      </c>
      <c r="B54" t="s">
        <v>9</v>
      </c>
      <c r="C54" s="2">
        <f>VLOOKUP($B54,'Hemery-Variabelen'!$A$5:$C$16,3,FALSE)*(Hemery_onder_elkaar!A54/100)+VLOOKUP($B54,'Hemery-Variabelen'!$A$5:$C$16,2,FALSE)</f>
        <v>9.5113250000000011</v>
      </c>
      <c r="D54" s="2">
        <f t="shared" si="5"/>
        <v>17.293318181818183</v>
      </c>
      <c r="E54" s="4">
        <f t="shared" si="1"/>
        <v>110.53961729109898</v>
      </c>
      <c r="F54">
        <f t="shared" si="2"/>
        <v>10200.37414799561</v>
      </c>
      <c r="G54">
        <f t="shared" si="3"/>
        <v>39.058394680616111</v>
      </c>
      <c r="H54">
        <f t="shared" si="4"/>
        <v>202.26125688469756</v>
      </c>
    </row>
    <row r="55" spans="1:13">
      <c r="A55">
        <v>60</v>
      </c>
      <c r="B55" t="s">
        <v>9</v>
      </c>
      <c r="C55" s="2">
        <f>VLOOKUP($B55,'Hemery-Variabelen'!$A$5:$C$16,3,FALSE)*(Hemery_onder_elkaar!A55/100)+VLOOKUP($B55,'Hemery-Variabelen'!$A$5:$C$16,2,FALSE)</f>
        <v>10.27298</v>
      </c>
      <c r="D55" s="2">
        <f t="shared" si="5"/>
        <v>17.121633333333335</v>
      </c>
      <c r="E55" s="4">
        <f t="shared" si="1"/>
        <v>94.75608629601291</v>
      </c>
      <c r="F55">
        <f t="shared" si="2"/>
        <v>10907.830554593344</v>
      </c>
      <c r="G55">
        <f t="shared" si="3"/>
        <v>49.706569615868403</v>
      </c>
      <c r="H55">
        <f t="shared" si="4"/>
        <v>158.9327137449049</v>
      </c>
    </row>
    <row r="56" spans="1:13">
      <c r="A56">
        <v>65</v>
      </c>
      <c r="B56" t="s">
        <v>9</v>
      </c>
      <c r="C56" s="2">
        <f>VLOOKUP($B56,'Hemery-Variabelen'!$A$5:$C$16,3,FALSE)*(Hemery_onder_elkaar!A56/100)+VLOOKUP($B56,'Hemery-Variabelen'!$A$5:$C$16,2,FALSE)</f>
        <v>11.034635</v>
      </c>
      <c r="D56" s="2">
        <f t="shared" si="5"/>
        <v>16.976361538461539</v>
      </c>
      <c r="E56" s="4">
        <f t="shared" si="1"/>
        <v>82.126640052392943</v>
      </c>
      <c r="F56">
        <f t="shared" si="2"/>
        <v>11617.143018005689</v>
      </c>
      <c r="G56">
        <f t="shared" si="3"/>
        <v>62.129657279840558</v>
      </c>
      <c r="H56">
        <f t="shared" si="4"/>
        <v>127.15344564701699</v>
      </c>
    </row>
    <row r="57" spans="1:13">
      <c r="A57">
        <v>70</v>
      </c>
      <c r="B57" t="s">
        <v>9</v>
      </c>
      <c r="C57" s="2">
        <f>VLOOKUP($B57,'Hemery-Variabelen'!$A$5:$C$16,3,FALSE)*(Hemery_onder_elkaar!A57/100)+VLOOKUP($B57,'Hemery-Variabelen'!$A$5:$C$16,2,FALSE)</f>
        <v>11.796289999999999</v>
      </c>
      <c r="D57" s="2">
        <f t="shared" si="5"/>
        <v>16.851842857142856</v>
      </c>
      <c r="E57" s="4">
        <f t="shared" si="1"/>
        <v>71.86362469394993</v>
      </c>
      <c r="F57">
        <f t="shared" si="2"/>
        <v>12327.913811772372</v>
      </c>
      <c r="G57">
        <f t="shared" si="3"/>
        <v>76.464275541372942</v>
      </c>
      <c r="H57">
        <f t="shared" si="4"/>
        <v>103.31622112505995</v>
      </c>
    </row>
    <row r="58" spans="1:13">
      <c r="A58">
        <v>75</v>
      </c>
      <c r="B58" t="s">
        <v>9</v>
      </c>
      <c r="C58" s="2">
        <f>VLOOKUP($B58,'Hemery-Variabelen'!$A$5:$C$16,3,FALSE)*(Hemery_onder_elkaar!A58/100)+VLOOKUP($B58,'Hemery-Variabelen'!$A$5:$C$16,2,FALSE)</f>
        <v>12.557945</v>
      </c>
      <c r="D58" s="2">
        <f t="shared" si="5"/>
        <v>16.743926666666667</v>
      </c>
      <c r="E58" s="4">
        <f t="shared" si="1"/>
        <v>63.410743693085109</v>
      </c>
      <c r="F58">
        <f t="shared" si="2"/>
        <v>13039.851269822528</v>
      </c>
      <c r="G58">
        <f t="shared" si="3"/>
        <v>92.847042269305973</v>
      </c>
      <c r="H58">
        <f t="shared" si="4"/>
        <v>85.086178373736274</v>
      </c>
    </row>
    <row r="59" spans="1:13">
      <c r="A59">
        <v>80</v>
      </c>
      <c r="B59" t="s">
        <v>9</v>
      </c>
      <c r="C59" s="2">
        <f>VLOOKUP($B59,'Hemery-Variabelen'!$A$5:$C$16,3,FALSE)*(Hemery_onder_elkaar!A59/100)+VLOOKUP($B59,'Hemery-Variabelen'!$A$5:$C$16,2,FALSE)</f>
        <v>13.319600000000001</v>
      </c>
      <c r="D59" s="2">
        <f t="shared" si="5"/>
        <v>16.6495</v>
      </c>
      <c r="E59" s="4">
        <f t="shared" si="1"/>
        <v>56.366054273055504</v>
      </c>
      <c r="F59">
        <f t="shared" si="2"/>
        <v>13752.736642603004</v>
      </c>
      <c r="G59">
        <f t="shared" si="3"/>
        <v>111.41457533248003</v>
      </c>
      <c r="H59">
        <f t="shared" si="4"/>
        <v>70.906342158780006</v>
      </c>
    </row>
    <row r="60" spans="1:13">
      <c r="A60">
        <v>10</v>
      </c>
      <c r="B60" t="s">
        <v>11</v>
      </c>
      <c r="C60" s="2">
        <f>VLOOKUP($B60,'Hemery-Variabelen'!$A$5:$C$16,3,FALSE)*(Hemery_onder_elkaar!A60/100)+VLOOKUP($B60,'Hemery-Variabelen'!$A$5:$C$16,2,FALSE)</f>
        <v>2.7937500000000002</v>
      </c>
      <c r="D60" s="2">
        <f t="shared" si="5"/>
        <v>27.9375</v>
      </c>
      <c r="E60" s="4">
        <f t="shared" si="1"/>
        <v>1281.2235685079249</v>
      </c>
      <c r="F60">
        <f t="shared" si="2"/>
        <v>4840.2949746093755</v>
      </c>
      <c r="G60">
        <f t="shared" si="3"/>
        <v>0.61269556640625011</v>
      </c>
      <c r="H60">
        <f t="shared" si="4"/>
        <v>12893.842281799498</v>
      </c>
      <c r="L60" s="2"/>
      <c r="M60" s="2"/>
    </row>
    <row r="61" spans="1:13">
      <c r="A61">
        <v>15</v>
      </c>
      <c r="B61" t="s">
        <v>11</v>
      </c>
      <c r="C61" s="2">
        <f>VLOOKUP($B61,'Hemery-Variabelen'!$A$5:$C$16,3,FALSE)*(Hemery_onder_elkaar!A61/100)+VLOOKUP($B61,'Hemery-Variabelen'!$A$5:$C$16,2,FALSE)</f>
        <v>3.8115750000000004</v>
      </c>
      <c r="D61" s="2">
        <f t="shared" si="5"/>
        <v>25.410500000000003</v>
      </c>
      <c r="E61" s="4">
        <f t="shared" si="1"/>
        <v>688.32106469889106</v>
      </c>
      <c r="F61">
        <f t="shared" si="2"/>
        <v>6006.4024557230641</v>
      </c>
      <c r="G61">
        <f t="shared" si="3"/>
        <v>1.7106842437185943</v>
      </c>
      <c r="H61">
        <f t="shared" si="4"/>
        <v>4618.0351686804579</v>
      </c>
      <c r="L61" s="2"/>
      <c r="M61" s="2"/>
    </row>
    <row r="62" spans="1:13">
      <c r="A62">
        <v>20</v>
      </c>
      <c r="B62" t="s">
        <v>11</v>
      </c>
      <c r="C62" s="2">
        <f>VLOOKUP($B62,'Hemery-Variabelen'!$A$5:$C$16,3,FALSE)*(Hemery_onder_elkaar!A62/100)+VLOOKUP($B62,'Hemery-Variabelen'!$A$5:$C$16,2,FALSE)</f>
        <v>4.8293999999999997</v>
      </c>
      <c r="D62" s="2">
        <f t="shared" si="5"/>
        <v>24.146999999999998</v>
      </c>
      <c r="E62" s="4">
        <f t="shared" si="1"/>
        <v>428.75939007289168</v>
      </c>
      <c r="F62">
        <f t="shared" si="2"/>
        <v>7231.9115844269991</v>
      </c>
      <c r="G62">
        <f t="shared" si="3"/>
        <v>3.6617273845199998</v>
      </c>
      <c r="H62">
        <f t="shared" si="4"/>
        <v>2157.4517080100918</v>
      </c>
      <c r="L62" s="2"/>
      <c r="M62" s="2"/>
    </row>
    <row r="63" spans="1:13">
      <c r="A63">
        <v>25</v>
      </c>
      <c r="B63" t="s">
        <v>11</v>
      </c>
      <c r="C63" s="2">
        <f>VLOOKUP($B63,'Hemery-Variabelen'!$A$5:$C$16,3,FALSE)*(Hemery_onder_elkaar!A63/100)+VLOOKUP($B63,'Hemery-Variabelen'!$A$5:$C$16,2,FALSE)</f>
        <v>5.8472249999999999</v>
      </c>
      <c r="D63" s="2">
        <f t="shared" si="5"/>
        <v>23.3889</v>
      </c>
      <c r="E63" s="4">
        <f t="shared" si="1"/>
        <v>292.48283831550447</v>
      </c>
      <c r="F63">
        <f t="shared" si="2"/>
        <v>8481.1813721670369</v>
      </c>
      <c r="G63">
        <f t="shared" si="3"/>
        <v>6.7097953893726565</v>
      </c>
      <c r="H63">
        <f t="shared" si="4"/>
        <v>1177.3831453210116</v>
      </c>
      <c r="L63" s="2"/>
      <c r="M63" s="2"/>
    </row>
    <row r="64" spans="1:13">
      <c r="A64">
        <v>30</v>
      </c>
      <c r="B64" t="s">
        <v>11</v>
      </c>
      <c r="C64" s="2">
        <f>VLOOKUP($B64,'Hemery-Variabelen'!$A$5:$C$16,3,FALSE)*(Hemery_onder_elkaar!A64/100)+VLOOKUP($B64,'Hemery-Variabelen'!$A$5:$C$16,2,FALSE)</f>
        <v>6.8650500000000001</v>
      </c>
      <c r="D64" s="2">
        <f t="shared" si="5"/>
        <v>22.883500000000002</v>
      </c>
      <c r="E64" s="4">
        <f t="shared" si="1"/>
        <v>212.18397966754526</v>
      </c>
      <c r="F64">
        <f t="shared" si="2"/>
        <v>9742.3314894251253</v>
      </c>
      <c r="G64">
        <f t="shared" si="3"/>
        <v>11.098858658838751</v>
      </c>
      <c r="H64">
        <f t="shared" si="4"/>
        <v>711.78489994633014</v>
      </c>
      <c r="L64" s="2"/>
      <c r="M64" s="2"/>
    </row>
    <row r="65" spans="1:13">
      <c r="A65">
        <v>35</v>
      </c>
      <c r="B65" t="s">
        <v>11</v>
      </c>
      <c r="C65" s="2">
        <f>VLOOKUP($B65,'Hemery-Variabelen'!$A$5:$C$16,3,FALSE)*(Hemery_onder_elkaar!A65/100)+VLOOKUP($B65,'Hemery-Variabelen'!$A$5:$C$16,2,FALSE)</f>
        <v>7.8828749999999994</v>
      </c>
      <c r="D65" s="2">
        <f t="shared" si="5"/>
        <v>22.522500000000001</v>
      </c>
      <c r="E65" s="4">
        <f t="shared" si="1"/>
        <v>160.92766879395219</v>
      </c>
      <c r="F65">
        <f t="shared" si="2"/>
        <v>11010.270366407813</v>
      </c>
      <c r="G65">
        <f t="shared" si="3"/>
        <v>17.072887593480466</v>
      </c>
      <c r="H65">
        <f t="shared" si="4"/>
        <v>462.72195940754227</v>
      </c>
      <c r="L65" s="2"/>
      <c r="M65" s="2"/>
    </row>
    <row r="66" spans="1:13">
      <c r="A66">
        <v>40</v>
      </c>
      <c r="B66" t="s">
        <v>11</v>
      </c>
      <c r="C66" s="2">
        <f>VLOOKUP($B66,'Hemery-Variabelen'!$A$5:$C$16,3,FALSE)*(Hemery_onder_elkaar!A66/100)+VLOOKUP($B66,'Hemery-Variabelen'!$A$5:$C$16,2,FALSE)</f>
        <v>8.9007000000000005</v>
      </c>
      <c r="D66" s="2">
        <f t="shared" si="5"/>
        <v>22.251750000000001</v>
      </c>
      <c r="E66" s="4">
        <f t="shared" si="1"/>
        <v>126.22682933790308</v>
      </c>
      <c r="F66">
        <f t="shared" si="2"/>
        <v>12282.452218218375</v>
      </c>
      <c r="G66">
        <f t="shared" si="3"/>
        <v>24.875852593860003</v>
      </c>
      <c r="H66">
        <f t="shared" si="4"/>
        <v>317.57705470364147</v>
      </c>
      <c r="L66" s="2"/>
      <c r="M66" s="2"/>
    </row>
    <row r="67" spans="1:13">
      <c r="A67">
        <v>45</v>
      </c>
      <c r="B67" t="s">
        <v>11</v>
      </c>
      <c r="C67" s="2">
        <f>VLOOKUP($B67,'Hemery-Variabelen'!$A$5:$C$16,3,FALSE)*(Hemery_onder_elkaar!A67/100)+VLOOKUP($B67,'Hemery-Variabelen'!$A$5:$C$16,2,FALSE)</f>
        <v>9.9185250000000007</v>
      </c>
      <c r="D67" s="2">
        <f t="shared" si="5"/>
        <v>22.041166666666669</v>
      </c>
      <c r="E67" s="4">
        <f t="shared" ref="E67:E130" si="6">10^4/C67^2</f>
        <v>101.64963309003542</v>
      </c>
      <c r="F67">
        <f t="shared" ref="F67:F130" si="7">10000*79%/A67*C67^2*0.785</f>
        <v>13557.462719914191</v>
      </c>
      <c r="G67">
        <f t="shared" ref="G67:G130" si="8">A67/100*C67^2*0.785</f>
        <v>34.751724060539537</v>
      </c>
      <c r="H67">
        <f t="shared" ref="H67:H130" si="9">7900/G67</f>
        <v>227.32685107184145</v>
      </c>
    </row>
    <row r="68" spans="1:13">
      <c r="A68">
        <v>50</v>
      </c>
      <c r="B68" t="s">
        <v>11</v>
      </c>
      <c r="C68" s="2">
        <f>VLOOKUP($B68,'Hemery-Variabelen'!$A$5:$C$16,3,FALSE)*(Hemery_onder_elkaar!A68/100)+VLOOKUP($B68,'Hemery-Variabelen'!$A$5:$C$16,2,FALSE)</f>
        <v>10.936350000000001</v>
      </c>
      <c r="D68" s="2">
        <f t="shared" si="5"/>
        <v>21.872700000000002</v>
      </c>
      <c r="E68" s="4">
        <f t="shared" si="6"/>
        <v>83.609417676507164</v>
      </c>
      <c r="F68">
        <f t="shared" si="7"/>
        <v>14834.453276529677</v>
      </c>
      <c r="G68">
        <f t="shared" si="8"/>
        <v>46.944472394081259</v>
      </c>
      <c r="H68">
        <f t="shared" si="9"/>
        <v>168.28392347628193</v>
      </c>
    </row>
    <row r="69" spans="1:13">
      <c r="A69">
        <v>55</v>
      </c>
      <c r="B69" t="s">
        <v>11</v>
      </c>
      <c r="C69" s="2">
        <f>VLOOKUP($B69,'Hemery-Variabelen'!$A$5:$C$16,3,FALSE)*(Hemery_onder_elkaar!A69/100)+VLOOKUP($B69,'Hemery-Variabelen'!$A$5:$C$16,2,FALSE)</f>
        <v>11.954175000000001</v>
      </c>
      <c r="D69" s="2">
        <f t="shared" si="5"/>
        <v>21.734863636363638</v>
      </c>
      <c r="E69" s="4">
        <f t="shared" si="6"/>
        <v>69.977880026106746</v>
      </c>
      <c r="F69">
        <f t="shared" si="7"/>
        <v>16112.883873086745</v>
      </c>
      <c r="G69">
        <f t="shared" si="8"/>
        <v>61.698067995047367</v>
      </c>
      <c r="H69">
        <f t="shared" si="9"/>
        <v>128.04290728575407</v>
      </c>
    </row>
    <row r="70" spans="1:13">
      <c r="A70">
        <v>60</v>
      </c>
      <c r="B70" t="s">
        <v>11</v>
      </c>
      <c r="C70" s="2">
        <f>VLOOKUP($B70,'Hemery-Variabelen'!$A$5:$C$16,3,FALSE)*(Hemery_onder_elkaar!A70/100)+VLOOKUP($B70,'Hemery-Variabelen'!$A$5:$C$16,2,FALSE)</f>
        <v>12.972000000000001</v>
      </c>
      <c r="D70" s="2">
        <f t="shared" si="5"/>
        <v>21.620000000000005</v>
      </c>
      <c r="E70" s="4">
        <f t="shared" si="6"/>
        <v>59.427316540980257</v>
      </c>
      <c r="F70">
        <f t="shared" si="7"/>
        <v>17392.394499600003</v>
      </c>
      <c r="G70">
        <f t="shared" si="8"/>
        <v>79.256481264000016</v>
      </c>
      <c r="H70">
        <f t="shared" si="9"/>
        <v>99.67639080121954</v>
      </c>
    </row>
    <row r="71" spans="1:13">
      <c r="A71">
        <v>65</v>
      </c>
      <c r="B71" t="s">
        <v>11</v>
      </c>
      <c r="C71" s="2">
        <f>VLOOKUP($B71,'Hemery-Variabelen'!$A$5:$C$16,3,FALSE)*(Hemery_onder_elkaar!A71/100)+VLOOKUP($B71,'Hemery-Variabelen'!$A$5:$C$16,2,FALSE)</f>
        <v>13.989825000000002</v>
      </c>
      <c r="D71" s="2">
        <f t="shared" si="5"/>
        <v>21.522807692307694</v>
      </c>
      <c r="E71" s="4">
        <f t="shared" si="6"/>
        <v>51.094650898877276</v>
      </c>
      <c r="F71">
        <f t="shared" si="7"/>
        <v>18672.73591838725</v>
      </c>
      <c r="G71">
        <f t="shared" si="8"/>
        <v>99.863682601501438</v>
      </c>
      <c r="H71">
        <f t="shared" si="9"/>
        <v>79.107837746424394</v>
      </c>
    </row>
    <row r="72" spans="1:13">
      <c r="A72">
        <v>70</v>
      </c>
      <c r="B72" t="s">
        <v>11</v>
      </c>
      <c r="C72" s="2">
        <f>VLOOKUP($B72,'Hemery-Variabelen'!$A$5:$C$16,3,FALSE)*(Hemery_onder_elkaar!A72/100)+VLOOKUP($B72,'Hemery-Variabelen'!$A$5:$C$16,2,FALSE)</f>
        <v>15.00765</v>
      </c>
      <c r="D72" s="2">
        <f t="shared" si="5"/>
        <v>21.439500000000002</v>
      </c>
      <c r="E72" s="4">
        <f t="shared" si="6"/>
        <v>44.399145767543736</v>
      </c>
      <c r="F72">
        <f t="shared" si="7"/>
        <v>19953.730102532623</v>
      </c>
      <c r="G72">
        <f t="shared" si="8"/>
        <v>123.76364240811374</v>
      </c>
      <c r="H72">
        <f t="shared" si="9"/>
        <v>63.831346963347684</v>
      </c>
    </row>
    <row r="73" spans="1:13">
      <c r="A73">
        <v>75</v>
      </c>
      <c r="B73" t="s">
        <v>11</v>
      </c>
      <c r="C73" s="2">
        <f>VLOOKUP($B73,'Hemery-Variabelen'!$A$5:$C$16,3,FALSE)*(Hemery_onder_elkaar!A73/100)+VLOOKUP($B73,'Hemery-Variabelen'!$A$5:$C$16,2,FALSE)</f>
        <v>16.025475</v>
      </c>
      <c r="D73" s="2">
        <f t="shared" si="5"/>
        <v>21.3673</v>
      </c>
      <c r="E73" s="4">
        <f t="shared" si="6"/>
        <v>38.938406799609645</v>
      </c>
      <c r="F73">
        <f t="shared" si="7"/>
        <v>21235.246498964509</v>
      </c>
      <c r="G73">
        <f t="shared" si="8"/>
        <v>151.20033108439924</v>
      </c>
      <c r="H73">
        <f t="shared" si="9"/>
        <v>52.248562839391276</v>
      </c>
    </row>
    <row r="74" spans="1:13">
      <c r="A74">
        <v>80</v>
      </c>
      <c r="B74" t="s">
        <v>11</v>
      </c>
      <c r="C74" s="2">
        <f>VLOOKUP($B74,'Hemery-Variabelen'!$A$5:$C$16,3,FALSE)*(Hemery_onder_elkaar!A74/100)+VLOOKUP($B74,'Hemery-Variabelen'!$A$5:$C$16,2,FALSE)</f>
        <v>17.043299999999999</v>
      </c>
      <c r="D74" s="2">
        <f t="shared" si="5"/>
        <v>21.304124999999996</v>
      </c>
      <c r="E74" s="4">
        <f t="shared" si="6"/>
        <v>34.426480241952454</v>
      </c>
      <c r="F74">
        <f t="shared" si="7"/>
        <v>22517.187192879184</v>
      </c>
      <c r="G74">
        <f t="shared" si="8"/>
        <v>182.41771903091998</v>
      </c>
      <c r="H74">
        <f t="shared" si="9"/>
        <v>43.307196482710886</v>
      </c>
    </row>
    <row r="75" spans="1:13">
      <c r="A75">
        <v>10</v>
      </c>
      <c r="B75" t="s">
        <v>41</v>
      </c>
      <c r="C75" s="2">
        <f>VLOOKUP($B75,'Hemery-Variabelen'!$A$5:$C$16,3,FALSE)*(Hemery_onder_elkaar!A75/100)+VLOOKUP($B75,'Hemery-Variabelen'!$A$5:$C$16,2,FALSE)</f>
        <v>4.5691199999999998</v>
      </c>
      <c r="D75" s="2">
        <f t="shared" si="5"/>
        <v>45.691199999999995</v>
      </c>
      <c r="E75" s="4">
        <f t="shared" si="6"/>
        <v>478.99929212825509</v>
      </c>
      <c r="F75">
        <f t="shared" si="7"/>
        <v>12946.78322476416</v>
      </c>
      <c r="G75">
        <f t="shared" si="8"/>
        <v>1.6388333195904001</v>
      </c>
      <c r="H75">
        <f t="shared" si="9"/>
        <v>4820.5024303353057</v>
      </c>
    </row>
    <row r="76" spans="1:13">
      <c r="A76">
        <v>15</v>
      </c>
      <c r="B76" t="s">
        <v>41</v>
      </c>
      <c r="C76" s="2">
        <f>VLOOKUP($B76,'Hemery-Variabelen'!$A$5:$C$16,3,FALSE)*(Hemery_onder_elkaar!A76/100)+VLOOKUP($B76,'Hemery-Variabelen'!$A$5:$C$16,2,FALSE)</f>
        <v>5.4773499999999995</v>
      </c>
      <c r="D76" s="2">
        <f t="shared" si="5"/>
        <v>36.515666666666668</v>
      </c>
      <c r="E76" s="4">
        <f t="shared" si="6"/>
        <v>333.31818932694301</v>
      </c>
      <c r="F76">
        <f t="shared" si="7"/>
        <v>12403.56351893558</v>
      </c>
      <c r="G76">
        <f t="shared" si="8"/>
        <v>3.5326604958993744</v>
      </c>
      <c r="H76">
        <f t="shared" si="9"/>
        <v>2236.2749007922289</v>
      </c>
    </row>
    <row r="77" spans="1:13">
      <c r="A77">
        <v>20</v>
      </c>
      <c r="B77" t="s">
        <v>41</v>
      </c>
      <c r="C77" s="2">
        <f>VLOOKUP($B77,'Hemery-Variabelen'!$A$5:$C$16,3,FALSE)*(Hemery_onder_elkaar!A77/100)+VLOOKUP($B77,'Hemery-Variabelen'!$A$5:$C$16,2,FALSE)</f>
        <v>6.3855800000000009</v>
      </c>
      <c r="D77" s="2">
        <f t="shared" si="5"/>
        <v>31.927900000000005</v>
      </c>
      <c r="E77" s="4">
        <f t="shared" si="6"/>
        <v>245.2445130855985</v>
      </c>
      <c r="F77">
        <f t="shared" si="7"/>
        <v>12643.504072679234</v>
      </c>
      <c r="G77">
        <f t="shared" si="8"/>
        <v>6.4017742140148028</v>
      </c>
      <c r="H77">
        <f t="shared" si="9"/>
        <v>1234.0329002396354</v>
      </c>
    </row>
    <row r="78" spans="1:13">
      <c r="A78">
        <v>25</v>
      </c>
      <c r="B78" t="s">
        <v>41</v>
      </c>
      <c r="C78" s="2">
        <f>VLOOKUP($B78,'Hemery-Variabelen'!$A$5:$C$16,3,FALSE)*(Hemery_onder_elkaar!A78/100)+VLOOKUP($B78,'Hemery-Variabelen'!$A$5:$C$16,2,FALSE)</f>
        <v>7.2938100000000006</v>
      </c>
      <c r="D78" s="2">
        <f t="shared" si="5"/>
        <v>29.175240000000002</v>
      </c>
      <c r="E78" s="4">
        <f t="shared" si="6"/>
        <v>187.97111088112007</v>
      </c>
      <c r="F78">
        <f t="shared" si="7"/>
        <v>13196.708730251768</v>
      </c>
      <c r="G78">
        <f t="shared" si="8"/>
        <v>10.440434122034626</v>
      </c>
      <c r="H78">
        <f t="shared" si="9"/>
        <v>756.67351641317123</v>
      </c>
    </row>
    <row r="79" spans="1:13">
      <c r="A79">
        <v>30</v>
      </c>
      <c r="B79" t="s">
        <v>41</v>
      </c>
      <c r="C79" s="2">
        <f>VLOOKUP($B79,'Hemery-Variabelen'!$A$5:$C$16,3,FALSE)*(Hemery_onder_elkaar!A79/100)+VLOOKUP($B79,'Hemery-Variabelen'!$A$5:$C$16,2,FALSE)</f>
        <v>8.2020400000000002</v>
      </c>
      <c r="D79" s="2">
        <f t="shared" si="5"/>
        <v>27.340133333333334</v>
      </c>
      <c r="E79" s="4">
        <f t="shared" si="6"/>
        <v>148.6470292442018</v>
      </c>
      <c r="F79">
        <f t="shared" si="7"/>
        <v>13906.545439738748</v>
      </c>
      <c r="G79">
        <f t="shared" si="8"/>
        <v>15.842899868056801</v>
      </c>
      <c r="H79">
        <f t="shared" si="9"/>
        <v>498.64608536271516</v>
      </c>
    </row>
    <row r="80" spans="1:13">
      <c r="A80">
        <v>35</v>
      </c>
      <c r="B80" t="s">
        <v>41</v>
      </c>
      <c r="C80" s="2">
        <f>VLOOKUP($B80,'Hemery-Variabelen'!$A$5:$C$16,3,FALSE)*(Hemery_onder_elkaar!A80/100)+VLOOKUP($B80,'Hemery-Variabelen'!$A$5:$C$16,2,FALSE)</f>
        <v>9.1102699999999999</v>
      </c>
      <c r="D80" s="2">
        <f t="shared" si="5"/>
        <v>26.029342857142858</v>
      </c>
      <c r="E80" s="4">
        <f t="shared" si="6"/>
        <v>120.48625436802799</v>
      </c>
      <c r="F80">
        <f t="shared" si="7"/>
        <v>14705.886178891125</v>
      </c>
      <c r="G80">
        <f t="shared" si="8"/>
        <v>22.803431100179271</v>
      </c>
      <c r="H80">
        <f t="shared" si="9"/>
        <v>346.43909354228248</v>
      </c>
    </row>
    <row r="81" spans="1:8">
      <c r="A81">
        <v>40</v>
      </c>
      <c r="B81" t="s">
        <v>41</v>
      </c>
      <c r="C81" s="2">
        <f>VLOOKUP($B81,'Hemery-Variabelen'!$A$5:$C$16,3,FALSE)*(Hemery_onder_elkaar!A81/100)+VLOOKUP($B81,'Hemery-Variabelen'!$A$5:$C$16,2,FALSE)</f>
        <v>10.018500000000001</v>
      </c>
      <c r="D81" s="2">
        <f t="shared" si="5"/>
        <v>25.046250000000001</v>
      </c>
      <c r="E81" s="4">
        <f t="shared" si="6"/>
        <v>99.631024223193762</v>
      </c>
      <c r="F81">
        <f t="shared" si="7"/>
        <v>15561.166936584379</v>
      </c>
      <c r="G81">
        <f t="shared" si="8"/>
        <v>31.51628746650001</v>
      </c>
      <c r="H81">
        <f t="shared" si="9"/>
        <v>250.66404183542375</v>
      </c>
    </row>
    <row r="82" spans="1:8">
      <c r="A82">
        <v>45</v>
      </c>
      <c r="B82" t="s">
        <v>41</v>
      </c>
      <c r="C82" s="2">
        <f>VLOOKUP($B82,'Hemery-Variabelen'!$A$5:$C$16,3,FALSE)*(Hemery_onder_elkaar!A82/100)+VLOOKUP($B82,'Hemery-Variabelen'!$A$5:$C$16,2,FALSE)</f>
        <v>10.926730000000001</v>
      </c>
      <c r="D82" s="2">
        <f t="shared" si="5"/>
        <v>24.281622222222225</v>
      </c>
      <c r="E82" s="4">
        <f t="shared" si="6"/>
        <v>83.756703582682292</v>
      </c>
      <c r="F82">
        <f t="shared" si="7"/>
        <v>16453.741039971545</v>
      </c>
      <c r="G82">
        <f t="shared" si="8"/>
        <v>42.175728615116931</v>
      </c>
      <c r="H82">
        <f t="shared" si="9"/>
        <v>187.31152393579336</v>
      </c>
    </row>
    <row r="83" spans="1:8">
      <c r="A83">
        <v>50</v>
      </c>
      <c r="B83" t="s">
        <v>41</v>
      </c>
      <c r="C83" s="2">
        <f>VLOOKUP($B83,'Hemery-Variabelen'!$A$5:$C$16,3,FALSE)*(Hemery_onder_elkaar!A83/100)+VLOOKUP($B83,'Hemery-Variabelen'!$A$5:$C$16,2,FALSE)</f>
        <v>11.834960000000001</v>
      </c>
      <c r="D83" s="2">
        <f t="shared" si="5"/>
        <v>23.669920000000001</v>
      </c>
      <c r="E83" s="4">
        <f t="shared" si="6"/>
        <v>71.394772020763</v>
      </c>
      <c r="F83">
        <f t="shared" si="7"/>
        <v>17372.420485344453</v>
      </c>
      <c r="G83">
        <f t="shared" si="8"/>
        <v>54.976014194128012</v>
      </c>
      <c r="H83">
        <f t="shared" si="9"/>
        <v>143.69903158319175</v>
      </c>
    </row>
    <row r="84" spans="1:8">
      <c r="A84">
        <v>55</v>
      </c>
      <c r="B84" t="s">
        <v>41</v>
      </c>
      <c r="C84" s="2">
        <f>VLOOKUP($B84,'Hemery-Variabelen'!$A$5:$C$16,3,FALSE)*(Hemery_onder_elkaar!A84/100)+VLOOKUP($B84,'Hemery-Variabelen'!$A$5:$C$16,2,FALSE)</f>
        <v>12.743190000000002</v>
      </c>
      <c r="D84" s="2">
        <f t="shared" si="5"/>
        <v>23.169436363636365</v>
      </c>
      <c r="E84" s="4">
        <f t="shared" si="6"/>
        <v>61.580566966490004</v>
      </c>
      <c r="F84">
        <f t="shared" si="7"/>
        <v>18310.085633979717</v>
      </c>
      <c r="G84">
        <f t="shared" si="8"/>
        <v>70.111403851631209</v>
      </c>
      <c r="H84">
        <f t="shared" si="9"/>
        <v>112.67781795837196</v>
      </c>
    </row>
    <row r="85" spans="1:8">
      <c r="A85">
        <v>60</v>
      </c>
      <c r="B85" t="s">
        <v>41</v>
      </c>
      <c r="C85" s="2">
        <f>VLOOKUP($B85,'Hemery-Variabelen'!$A$5:$C$16,3,FALSE)*(Hemery_onder_elkaar!A85/100)+VLOOKUP($B85,'Hemery-Variabelen'!$A$5:$C$16,2,FALSE)</f>
        <v>13.65142</v>
      </c>
      <c r="D85" s="2">
        <f t="shared" si="5"/>
        <v>22.752366666666667</v>
      </c>
      <c r="E85" s="4">
        <f t="shared" si="6"/>
        <v>53.659218497697644</v>
      </c>
      <c r="F85">
        <f t="shared" si="7"/>
        <v>19261.990060061744</v>
      </c>
      <c r="G85">
        <f t="shared" si="8"/>
        <v>87.776157235724412</v>
      </c>
      <c r="H85">
        <f t="shared" si="9"/>
        <v>90.00166159911069</v>
      </c>
    </row>
    <row r="86" spans="1:8">
      <c r="A86">
        <v>65</v>
      </c>
      <c r="B86" t="s">
        <v>41</v>
      </c>
      <c r="C86" s="2">
        <f>VLOOKUP($B86,'Hemery-Variabelen'!$A$5:$C$16,3,FALSE)*(Hemery_onder_elkaar!A86/100)+VLOOKUP($B86,'Hemery-Variabelen'!$A$5:$C$16,2,FALSE)</f>
        <v>14.559650000000001</v>
      </c>
      <c r="D86" s="2">
        <f t="shared" si="5"/>
        <v>22.399461538461541</v>
      </c>
      <c r="E86" s="4">
        <f t="shared" si="6"/>
        <v>47.173503287678272</v>
      </c>
      <c r="F86">
        <f t="shared" si="7"/>
        <v>20224.847776487444</v>
      </c>
      <c r="G86">
        <f t="shared" si="8"/>
        <v>108.16453399450566</v>
      </c>
      <c r="H86">
        <f t="shared" si="9"/>
        <v>73.036879171515579</v>
      </c>
    </row>
    <row r="87" spans="1:8">
      <c r="A87">
        <v>70</v>
      </c>
      <c r="B87" t="s">
        <v>41</v>
      </c>
      <c r="C87" s="2">
        <f>VLOOKUP($B87,'Hemery-Variabelen'!$A$5:$C$16,2,FALSE)+VLOOKUP($B87,'Hemery-Variabelen'!$A$5:$C$16,3,FALSE)*A87/100</f>
        <v>15.467879999999999</v>
      </c>
      <c r="D87" s="2">
        <f t="shared" si="5"/>
        <v>22.096971428571429</v>
      </c>
      <c r="E87" s="4">
        <f t="shared" si="6"/>
        <v>41.796355237341466</v>
      </c>
      <c r="F87">
        <f t="shared" si="7"/>
        <v>21196.311649611736</v>
      </c>
      <c r="G87">
        <f t="shared" si="8"/>
        <v>131.47079377607278</v>
      </c>
      <c r="H87">
        <f t="shared" si="9"/>
        <v>60.089391515013212</v>
      </c>
    </row>
    <row r="88" spans="1:8">
      <c r="A88">
        <v>75</v>
      </c>
      <c r="B88" t="s">
        <v>41</v>
      </c>
      <c r="C88" s="2">
        <f>VLOOKUP($B88,'Hemery-Variabelen'!$A$5:$C$16,2,FALSE)+VLOOKUP($B88,'Hemery-Variabelen'!$A$5:$C$16,3,FALSE)*A88/100</f>
        <v>16.376110000000001</v>
      </c>
      <c r="D88" s="2">
        <f t="shared" si="5"/>
        <v>21.834813333333333</v>
      </c>
      <c r="E88" s="4">
        <f t="shared" si="6"/>
        <v>37.288808484898595</v>
      </c>
      <c r="F88">
        <f t="shared" si="7"/>
        <v>22174.66044809491</v>
      </c>
      <c r="G88">
        <f t="shared" si="8"/>
        <v>157.88919622852387</v>
      </c>
      <c r="H88">
        <f t="shared" si="9"/>
        <v>50.035089092263078</v>
      </c>
    </row>
    <row r="89" spans="1:8">
      <c r="A89">
        <v>80</v>
      </c>
      <c r="B89" t="s">
        <v>41</v>
      </c>
      <c r="C89" s="2">
        <f>VLOOKUP($B89,'Hemery-Variabelen'!$A$5:$C$16,3,FALSE)*(Hemery_onder_elkaar!A89/100)+VLOOKUP($B89,'Hemery-Variabelen'!$A$5:$C$16,2,FALSE)</f>
        <v>17.28434</v>
      </c>
      <c r="D89" s="2">
        <f t="shared" si="5"/>
        <v>21.605425</v>
      </c>
      <c r="E89" s="4">
        <f t="shared" si="6"/>
        <v>33.472981582016608</v>
      </c>
      <c r="F89">
        <f t="shared" si="7"/>
        <v>23158.603248432173</v>
      </c>
      <c r="G89">
        <f t="shared" si="8"/>
        <v>187.61400099995683</v>
      </c>
      <c r="H89">
        <f t="shared" si="9"/>
        <v>42.107731607950825</v>
      </c>
    </row>
    <row r="90" spans="1:8">
      <c r="A90">
        <v>10</v>
      </c>
      <c r="B90" t="s">
        <v>42</v>
      </c>
      <c r="C90" s="2">
        <f>VLOOKUP($B90,'Hemery-Variabelen'!$A$5:$C$16,3,FALSE)*(Hemery_onder_elkaar!A90/100)+VLOOKUP($B90,'Hemery-Variabelen'!$A$5:$C$16,2,FALSE)</f>
        <v>2.6959900000000001</v>
      </c>
      <c r="D90" s="2">
        <f t="shared" si="5"/>
        <v>26.959900000000001</v>
      </c>
      <c r="E90" s="4">
        <f t="shared" si="6"/>
        <v>1375.8257898817305</v>
      </c>
      <c r="F90">
        <f t="shared" si="7"/>
        <v>4507.4747439740158</v>
      </c>
      <c r="G90">
        <f t="shared" si="8"/>
        <v>0.57056642328785001</v>
      </c>
      <c r="H90">
        <f t="shared" si="9"/>
        <v>13845.890114733338</v>
      </c>
    </row>
    <row r="91" spans="1:8">
      <c r="A91">
        <v>15</v>
      </c>
      <c r="B91" t="s">
        <v>42</v>
      </c>
      <c r="C91" s="2">
        <f>VLOOKUP($B91,'Hemery-Variabelen'!$A$5:$C$16,3,FALSE)*(Hemery_onder_elkaar!A91/100)+VLOOKUP($B91,'Hemery-Variabelen'!$A$5:$C$16,2,FALSE)</f>
        <v>3.6434999999999995</v>
      </c>
      <c r="D91" s="2">
        <f t="shared" si="5"/>
        <v>24.29</v>
      </c>
      <c r="E91" s="4">
        <f t="shared" si="6"/>
        <v>753.29043381977272</v>
      </c>
      <c r="F91">
        <f t="shared" si="7"/>
        <v>5488.3656392249986</v>
      </c>
      <c r="G91">
        <f t="shared" si="8"/>
        <v>1.5631421124374996</v>
      </c>
      <c r="H91">
        <f t="shared" si="9"/>
        <v>5053.92308040442</v>
      </c>
    </row>
    <row r="92" spans="1:8">
      <c r="A92">
        <v>20</v>
      </c>
      <c r="B92" t="s">
        <v>42</v>
      </c>
      <c r="C92" s="2">
        <f>VLOOKUP($B92,'Hemery-Variabelen'!$A$5:$C$16,3,FALSE)*(Hemery_onder_elkaar!A92/100)+VLOOKUP($B92,'Hemery-Variabelen'!$A$5:$C$16,2,FALSE)</f>
        <v>4.5910099999999998</v>
      </c>
      <c r="D92" s="2">
        <f t="shared" si="5"/>
        <v>22.955049999999996</v>
      </c>
      <c r="E92" s="4">
        <f t="shared" si="6"/>
        <v>474.44243100656774</v>
      </c>
      <c r="F92">
        <f t="shared" si="7"/>
        <v>6535.5663771925065</v>
      </c>
      <c r="G92">
        <f t="shared" si="8"/>
        <v>3.3091475327557003</v>
      </c>
      <c r="H92">
        <f t="shared" si="9"/>
        <v>2387.3217865935571</v>
      </c>
    </row>
    <row r="93" spans="1:8">
      <c r="A93">
        <v>25</v>
      </c>
      <c r="B93" t="s">
        <v>42</v>
      </c>
      <c r="C93" s="2">
        <f>VLOOKUP($B93,'Hemery-Variabelen'!$A$5:$C$16,3,FALSE)*(Hemery_onder_elkaar!A93/100)+VLOOKUP($B93,'Hemery-Variabelen'!$A$5:$C$16,2,FALSE)</f>
        <v>5.5385200000000001</v>
      </c>
      <c r="D93" s="2">
        <f t="shared" si="5"/>
        <v>22.15408</v>
      </c>
      <c r="E93" s="4">
        <f t="shared" si="6"/>
        <v>325.9962042413411</v>
      </c>
      <c r="F93">
        <f t="shared" si="7"/>
        <v>7609.2910522466236</v>
      </c>
      <c r="G93">
        <f t="shared" si="8"/>
        <v>6.0200087438660006</v>
      </c>
      <c r="H93">
        <f t="shared" si="9"/>
        <v>1312.2904527422138</v>
      </c>
    </row>
    <row r="94" spans="1:8">
      <c r="A94">
        <v>30</v>
      </c>
      <c r="B94" t="s">
        <v>42</v>
      </c>
      <c r="C94" s="2">
        <f>VLOOKUP($B94,'Hemery-Variabelen'!$A$5:$C$16,3,FALSE)*(Hemery_onder_elkaar!A94/100)+VLOOKUP($B94,'Hemery-Variabelen'!$A$5:$C$16,2,FALSE)</f>
        <v>6.4860299999999995</v>
      </c>
      <c r="D94" s="2">
        <f t="shared" si="5"/>
        <v>21.620100000000001</v>
      </c>
      <c r="E94" s="4">
        <f t="shared" si="6"/>
        <v>237.70706720354238</v>
      </c>
      <c r="F94">
        <f t="shared" si="7"/>
        <v>8696.2776958440427</v>
      </c>
      <c r="G94">
        <f t="shared" si="8"/>
        <v>9.9071518053919476</v>
      </c>
      <c r="H94">
        <f t="shared" si="9"/>
        <v>797.40374985477069</v>
      </c>
    </row>
    <row r="95" spans="1:8">
      <c r="A95">
        <v>35</v>
      </c>
      <c r="B95" t="s">
        <v>42</v>
      </c>
      <c r="C95" s="2">
        <f>VLOOKUP($B95,'Hemery-Variabelen'!$A$5:$C$16,3,FALSE)*(Hemery_onder_elkaar!A95/100)+VLOOKUP($B95,'Hemery-Variabelen'!$A$5:$C$16,2,FALSE)</f>
        <v>7.4335399999999989</v>
      </c>
      <c r="D95" s="2">
        <f t="shared" si="5"/>
        <v>21.238685714285712</v>
      </c>
      <c r="E95" s="4">
        <f t="shared" si="6"/>
        <v>180.97085347462155</v>
      </c>
      <c r="F95">
        <f t="shared" si="7"/>
        <v>9790.8426071804952</v>
      </c>
      <c r="G95">
        <f t="shared" si="8"/>
        <v>15.182002776957097</v>
      </c>
      <c r="H95">
        <f t="shared" si="9"/>
        <v>520.35295448571799</v>
      </c>
    </row>
    <row r="96" spans="1:8">
      <c r="A96">
        <v>40</v>
      </c>
      <c r="B96" t="s">
        <v>42</v>
      </c>
      <c r="C96" s="2">
        <f>VLOOKUP($B96,'Hemery-Variabelen'!$A$5:$C$16,3,FALSE)*(Hemery_onder_elkaar!A96/100)+VLOOKUP($B96,'Hemery-Variabelen'!$A$5:$C$16,2,FALSE)</f>
        <v>8.3810500000000001</v>
      </c>
      <c r="D96" s="2">
        <f t="shared" si="5"/>
        <v>20.952624999999998</v>
      </c>
      <c r="E96" s="4">
        <f t="shared" si="6"/>
        <v>142.36496864799633</v>
      </c>
      <c r="F96">
        <f t="shared" si="7"/>
        <v>10890.143935853845</v>
      </c>
      <c r="G96">
        <f t="shared" si="8"/>
        <v>22.055987718185005</v>
      </c>
      <c r="H96">
        <f t="shared" si="9"/>
        <v>358.17937971948118</v>
      </c>
    </row>
    <row r="97" spans="1:8">
      <c r="A97">
        <v>45</v>
      </c>
      <c r="B97" t="s">
        <v>42</v>
      </c>
      <c r="C97" s="2">
        <f>VLOOKUP($B97,'Hemery-Variabelen'!$A$5:$C$16,3,FALSE)*(Hemery_onder_elkaar!A97/100)+VLOOKUP($B97,'Hemery-Variabelen'!$A$5:$C$16,2,FALSE)</f>
        <v>9.3285599999999995</v>
      </c>
      <c r="D97" s="2">
        <f t="shared" si="5"/>
        <v>20.730133333333331</v>
      </c>
      <c r="E97" s="4">
        <f t="shared" si="6"/>
        <v>114.91342833166368</v>
      </c>
      <c r="F97">
        <f t="shared" si="7"/>
        <v>11992.602876085119</v>
      </c>
      <c r="G97">
        <f t="shared" si="8"/>
        <v>30.740532688699201</v>
      </c>
      <c r="H97">
        <f t="shared" si="9"/>
        <v>256.98969110265904</v>
      </c>
    </row>
    <row r="98" spans="1:8">
      <c r="A98">
        <v>50</v>
      </c>
      <c r="B98" t="s">
        <v>42</v>
      </c>
      <c r="C98" s="2">
        <f>VLOOKUP($B98,'Hemery-Variabelen'!$A$5:$C$16,3,FALSE)*(Hemery_onder_elkaar!A98/100)+VLOOKUP($B98,'Hemery-Variabelen'!$A$5:$C$16,2,FALSE)</f>
        <v>10.276069999999999</v>
      </c>
      <c r="D98" s="2">
        <f t="shared" ref="D98:D141" si="10">C98/(A98/100)</f>
        <v>20.552139999999998</v>
      </c>
      <c r="E98" s="4">
        <f t="shared" si="6"/>
        <v>94.699108816308552</v>
      </c>
      <c r="F98">
        <f t="shared" si="7"/>
        <v>13097.272144406947</v>
      </c>
      <c r="G98">
        <f t="shared" si="8"/>
        <v>41.447063748123242</v>
      </c>
      <c r="H98">
        <f t="shared" si="9"/>
        <v>190.60457570671019</v>
      </c>
    </row>
    <row r="99" spans="1:8">
      <c r="A99">
        <v>55</v>
      </c>
      <c r="B99" t="s">
        <v>42</v>
      </c>
      <c r="C99" s="2">
        <f>VLOOKUP($B99,'Hemery-Variabelen'!$A$5:$C$16,3,FALSE)*(Hemery_onder_elkaar!A99/100)+VLOOKUP($B99,'Hemery-Variabelen'!$A$5:$C$16,2,FALSE)</f>
        <v>11.22358</v>
      </c>
      <c r="D99" s="2">
        <f t="shared" si="10"/>
        <v>20.40650909090909</v>
      </c>
      <c r="E99" s="4">
        <f t="shared" si="6"/>
        <v>79.384769297683974</v>
      </c>
      <c r="F99">
        <f t="shared" si="7"/>
        <v>14203.548924067354</v>
      </c>
      <c r="G99">
        <f t="shared" si="8"/>
        <v>54.387006956080704</v>
      </c>
      <c r="H99">
        <f t="shared" si="9"/>
        <v>145.25528140166841</v>
      </c>
    </row>
    <row r="100" spans="1:8">
      <c r="A100">
        <v>60</v>
      </c>
      <c r="B100" t="s">
        <v>42</v>
      </c>
      <c r="C100" s="2">
        <f>VLOOKUP($B100,'Hemery-Variabelen'!$A$5:$C$16,3,FALSE)*(Hemery_onder_elkaar!A100/100)+VLOOKUP($B100,'Hemery-Variabelen'!$A$5:$C$16,2,FALSE)</f>
        <v>12.171089999999998</v>
      </c>
      <c r="D100" s="2">
        <f t="shared" si="10"/>
        <v>20.285149999999998</v>
      </c>
      <c r="E100" s="4">
        <f t="shared" si="6"/>
        <v>67.505794388910829</v>
      </c>
      <c r="F100">
        <f t="shared" si="7"/>
        <v>15311.031337231696</v>
      </c>
      <c r="G100">
        <f t="shared" si="8"/>
        <v>69.771788372195076</v>
      </c>
      <c r="H100">
        <f t="shared" si="9"/>
        <v>113.22627933596507</v>
      </c>
    </row>
    <row r="101" spans="1:8">
      <c r="A101">
        <v>65</v>
      </c>
      <c r="B101" t="s">
        <v>42</v>
      </c>
      <c r="C101" s="2">
        <f>VLOOKUP($B101,'Hemery-Variabelen'!$A$5:$C$16,3,FALSE)*(Hemery_onder_elkaar!A101/100)+VLOOKUP($B101,'Hemery-Variabelen'!$A$5:$C$16,2,FALSE)</f>
        <v>13.118599999999999</v>
      </c>
      <c r="D101" s="2">
        <f t="shared" si="10"/>
        <v>20.182461538461535</v>
      </c>
      <c r="E101" s="4">
        <f t="shared" si="6"/>
        <v>58.106540517082102</v>
      </c>
      <c r="F101">
        <f t="shared" si="7"/>
        <v>16419.441160783688</v>
      </c>
      <c r="G101">
        <f t="shared" si="8"/>
        <v>87.812834056089997</v>
      </c>
      <c r="H101">
        <f t="shared" si="9"/>
        <v>89.964070570298588</v>
      </c>
    </row>
    <row r="102" spans="1:8">
      <c r="A102">
        <v>70</v>
      </c>
      <c r="B102" t="s">
        <v>42</v>
      </c>
      <c r="C102" s="2">
        <f>VLOOKUP($B102,'Hemery-Variabelen'!$A$5:$C$16,3,FALSE)*(Hemery_onder_elkaar!A102/100)+VLOOKUP($B102,'Hemery-Variabelen'!$A$5:$C$16,2,FALSE)</f>
        <v>14.066109999999998</v>
      </c>
      <c r="D102" s="2">
        <f t="shared" si="10"/>
        <v>20.094442857142855</v>
      </c>
      <c r="E102" s="4">
        <f t="shared" si="6"/>
        <v>50.541948544286406</v>
      </c>
      <c r="F102">
        <f t="shared" si="7"/>
        <v>17528.579663925968</v>
      </c>
      <c r="G102">
        <f t="shared" si="8"/>
        <v>108.72157006738891</v>
      </c>
      <c r="H102">
        <f t="shared" si="9"/>
        <v>72.662673976317137</v>
      </c>
    </row>
    <row r="103" spans="1:8">
      <c r="A103">
        <v>75</v>
      </c>
      <c r="B103" t="s">
        <v>42</v>
      </c>
      <c r="C103" s="2">
        <f>VLOOKUP($B103,'Hemery-Variabelen'!$A$5:$C$16,3,FALSE)*(Hemery_onder_elkaar!A103/100)+VLOOKUP($B103,'Hemery-Variabelen'!$A$5:$C$16,2,FALSE)</f>
        <v>15.01362</v>
      </c>
      <c r="D103" s="2">
        <f t="shared" si="10"/>
        <v>20.018159999999998</v>
      </c>
      <c r="E103" s="4">
        <f t="shared" si="6"/>
        <v>44.363843128930746</v>
      </c>
      <c r="F103">
        <f t="shared" si="7"/>
        <v>18638.301110740485</v>
      </c>
      <c r="G103">
        <f t="shared" si="8"/>
        <v>132.70942246571551</v>
      </c>
      <c r="H103">
        <f t="shared" si="9"/>
        <v>59.528553837546134</v>
      </c>
    </row>
    <row r="104" spans="1:8">
      <c r="A104">
        <v>80</v>
      </c>
      <c r="B104" t="s">
        <v>42</v>
      </c>
      <c r="C104" s="2">
        <f>VLOOKUP($B104,'Hemery-Variabelen'!$A$5:$C$16,3,FALSE)*(Hemery_onder_elkaar!A104/100)+VLOOKUP($B104,'Hemery-Variabelen'!$A$5:$C$16,2,FALSE)</f>
        <v>15.961129999999999</v>
      </c>
      <c r="D104" s="2">
        <f t="shared" si="10"/>
        <v>19.951412499999996</v>
      </c>
      <c r="E104" s="4">
        <f t="shared" si="6"/>
        <v>39.252988793542727</v>
      </c>
      <c r="F104">
        <f t="shared" si="7"/>
        <v>19748.496199288689</v>
      </c>
      <c r="G104">
        <f t="shared" si="8"/>
        <v>159.9878173106932</v>
      </c>
      <c r="H104">
        <f t="shared" si="9"/>
        <v>49.378759788055334</v>
      </c>
    </row>
    <row r="105" spans="1:8">
      <c r="A105">
        <v>10</v>
      </c>
      <c r="B105" t="s">
        <v>43</v>
      </c>
      <c r="C105" s="2">
        <f>VLOOKUP($B105,'Hemery-Variabelen'!$A$5:$C$16,3,FALSE)*(Hemery_onder_elkaar!A105/100)+VLOOKUP($B105,'Hemery-Variabelen'!$A$5:$C$16,2,FALSE)</f>
        <v>3.3</v>
      </c>
      <c r="D105" s="2">
        <f t="shared" si="10"/>
        <v>32.999999999999993</v>
      </c>
      <c r="E105" s="4">
        <f t="shared" si="6"/>
        <v>918.2736455463729</v>
      </c>
      <c r="F105">
        <f t="shared" si="7"/>
        <v>6753.4334999999992</v>
      </c>
      <c r="G105">
        <f t="shared" si="8"/>
        <v>0.85486499999999999</v>
      </c>
      <c r="H105">
        <f t="shared" si="9"/>
        <v>9241.2252226959808</v>
      </c>
    </row>
    <row r="106" spans="1:8">
      <c r="A106">
        <v>15</v>
      </c>
      <c r="B106" t="s">
        <v>43</v>
      </c>
      <c r="C106" s="2">
        <f>VLOOKUP($B106,'Hemery-Variabelen'!$A$5:$C$16,3,FALSE)*(Hemery_onder_elkaar!A106/100)+VLOOKUP($B106,'Hemery-Variabelen'!$A$5:$C$16,2,FALSE)</f>
        <v>4.07</v>
      </c>
      <c r="D106" s="2">
        <f t="shared" si="10"/>
        <v>27.133333333333336</v>
      </c>
      <c r="E106" s="4">
        <f t="shared" si="6"/>
        <v>603.686107371611</v>
      </c>
      <c r="F106">
        <f t="shared" si="7"/>
        <v>6848.4818233333335</v>
      </c>
      <c r="G106">
        <f t="shared" si="8"/>
        <v>1.9505169750000002</v>
      </c>
      <c r="H106">
        <f t="shared" si="9"/>
        <v>4050.2082787564559</v>
      </c>
    </row>
    <row r="107" spans="1:8">
      <c r="A107">
        <v>20</v>
      </c>
      <c r="B107" t="s">
        <v>43</v>
      </c>
      <c r="C107" s="2">
        <f>VLOOKUP($B107,'Hemery-Variabelen'!$A$5:$C$16,3,FALSE)*(Hemery_onder_elkaar!A107/100)+VLOOKUP($B107,'Hemery-Variabelen'!$A$5:$C$16,2,FALSE)</f>
        <v>4.84</v>
      </c>
      <c r="D107" s="2">
        <f t="shared" si="10"/>
        <v>24.2</v>
      </c>
      <c r="E107" s="4">
        <f t="shared" si="6"/>
        <v>426.88340960316918</v>
      </c>
      <c r="F107">
        <f t="shared" si="7"/>
        <v>7263.6929199999995</v>
      </c>
      <c r="G107">
        <f t="shared" si="8"/>
        <v>3.6778192000000005</v>
      </c>
      <c r="H107">
        <f t="shared" si="9"/>
        <v>2148.0120610605327</v>
      </c>
    </row>
    <row r="108" spans="1:8">
      <c r="A108">
        <v>25</v>
      </c>
      <c r="B108" t="s">
        <v>43</v>
      </c>
      <c r="C108" s="2">
        <f>VLOOKUP($B108,'Hemery-Variabelen'!$A$5:$C$16,3,FALSE)*(Hemery_onder_elkaar!A108/100)+VLOOKUP($B108,'Hemery-Variabelen'!$A$5:$C$16,2,FALSE)</f>
        <v>5.61</v>
      </c>
      <c r="D108" s="2">
        <f t="shared" si="10"/>
        <v>22.44</v>
      </c>
      <c r="E108" s="4">
        <f t="shared" si="6"/>
        <v>317.74174586379678</v>
      </c>
      <c r="F108">
        <f t="shared" si="7"/>
        <v>7806.9691260000018</v>
      </c>
      <c r="G108">
        <f t="shared" si="8"/>
        <v>6.1763996250000011</v>
      </c>
      <c r="H108">
        <f t="shared" si="9"/>
        <v>1279.0623145599973</v>
      </c>
    </row>
    <row r="109" spans="1:8">
      <c r="A109">
        <v>30</v>
      </c>
      <c r="B109" t="s">
        <v>43</v>
      </c>
      <c r="C109" s="2">
        <f>VLOOKUP($B109,'Hemery-Variabelen'!$A$5:$C$16,3,FALSE)*(Hemery_onder_elkaar!A109/100)+VLOOKUP($B109,'Hemery-Variabelen'!$A$5:$C$16,2,FALSE)</f>
        <v>6.38</v>
      </c>
      <c r="D109" s="2">
        <f t="shared" si="10"/>
        <v>21.266666666666666</v>
      </c>
      <c r="E109" s="4">
        <f t="shared" si="6"/>
        <v>245.67368638279891</v>
      </c>
      <c r="F109">
        <f t="shared" si="7"/>
        <v>8414.2778866666667</v>
      </c>
      <c r="G109">
        <f t="shared" si="8"/>
        <v>9.5858861999999991</v>
      </c>
      <c r="H109">
        <f t="shared" si="9"/>
        <v>824.12828977669278</v>
      </c>
    </row>
    <row r="110" spans="1:8">
      <c r="A110">
        <v>35</v>
      </c>
      <c r="B110" t="s">
        <v>43</v>
      </c>
      <c r="C110" s="2">
        <f>VLOOKUP($B110,'Hemery-Variabelen'!$A$5:$C$16,3,FALSE)*(Hemery_onder_elkaar!A110/100)+VLOOKUP($B110,'Hemery-Variabelen'!$A$5:$C$16,2,FALSE)</f>
        <v>7.1499999999999995</v>
      </c>
      <c r="D110" s="2">
        <f t="shared" si="10"/>
        <v>20.428571428571427</v>
      </c>
      <c r="E110" s="4">
        <f t="shared" si="6"/>
        <v>195.60858721697883</v>
      </c>
      <c r="F110">
        <f t="shared" si="7"/>
        <v>9058.1766785714281</v>
      </c>
      <c r="G110">
        <f t="shared" si="8"/>
        <v>14.045906874999998</v>
      </c>
      <c r="H110">
        <f t="shared" si="9"/>
        <v>562.44143367211393</v>
      </c>
    </row>
    <row r="111" spans="1:8">
      <c r="A111">
        <v>40</v>
      </c>
      <c r="B111" t="s">
        <v>43</v>
      </c>
      <c r="C111" s="2">
        <f>VLOOKUP($B111,'Hemery-Variabelen'!$A$5:$C$16,3,FALSE)*(Hemery_onder_elkaar!A111/100)+VLOOKUP($B111,'Hemery-Variabelen'!$A$5:$C$16,2,FALSE)</f>
        <v>7.92</v>
      </c>
      <c r="D111" s="2">
        <f t="shared" si="10"/>
        <v>19.799999999999997</v>
      </c>
      <c r="E111" s="4">
        <f t="shared" si="6"/>
        <v>159.42250790735639</v>
      </c>
      <c r="F111">
        <f t="shared" si="7"/>
        <v>9724.9442400000007</v>
      </c>
      <c r="G111">
        <f t="shared" si="8"/>
        <v>19.696089600000001</v>
      </c>
      <c r="H111">
        <f t="shared" si="9"/>
        <v>401.09484473506859</v>
      </c>
    </row>
    <row r="112" spans="1:8">
      <c r="A112">
        <v>45</v>
      </c>
      <c r="B112" t="s">
        <v>43</v>
      </c>
      <c r="C112" s="2">
        <f>VLOOKUP($B112,'Hemery-Variabelen'!$A$5:$C$16,3,FALSE)*(Hemery_onder_elkaar!A112/100)+VLOOKUP($B112,'Hemery-Variabelen'!$A$5:$C$16,2,FALSE)</f>
        <v>8.6900000000000013</v>
      </c>
      <c r="D112" s="2">
        <f t="shared" si="10"/>
        <v>19.311111111111114</v>
      </c>
      <c r="E112" s="4">
        <f t="shared" si="6"/>
        <v>132.42209277226971</v>
      </c>
      <c r="F112">
        <f t="shared" si="7"/>
        <v>10406.957647777781</v>
      </c>
      <c r="G112">
        <f t="shared" si="8"/>
        <v>26.676062325000011</v>
      </c>
      <c r="H112">
        <f t="shared" si="9"/>
        <v>296.14565687216719</v>
      </c>
    </row>
    <row r="113" spans="1:8">
      <c r="A113">
        <v>50</v>
      </c>
      <c r="B113" t="s">
        <v>43</v>
      </c>
      <c r="C113" s="2">
        <f>VLOOKUP($B113,'Hemery-Variabelen'!$A$5:$C$16,3,FALSE)*(Hemery_onder_elkaar!A113/100)+VLOOKUP($B113,'Hemery-Variabelen'!$A$5:$C$16,2,FALSE)</f>
        <v>9.4600000000000009</v>
      </c>
      <c r="D113" s="2">
        <f t="shared" si="10"/>
        <v>18.920000000000002</v>
      </c>
      <c r="E113" s="4">
        <f t="shared" si="6"/>
        <v>111.74233112381495</v>
      </c>
      <c r="F113">
        <f t="shared" si="7"/>
        <v>11099.643148000003</v>
      </c>
      <c r="G113">
        <f t="shared" si="8"/>
        <v>35.125453000000007</v>
      </c>
      <c r="H113">
        <f t="shared" si="9"/>
        <v>224.90813143392054</v>
      </c>
    </row>
    <row r="114" spans="1:8">
      <c r="A114">
        <v>55</v>
      </c>
      <c r="B114" t="s">
        <v>43</v>
      </c>
      <c r="C114" s="2">
        <f>VLOOKUP($B114,'Hemery-Variabelen'!$A$5:$C$16,3,FALSE)*(Hemery_onder_elkaar!A114/100)+VLOOKUP($B114,'Hemery-Variabelen'!$A$5:$C$16,2,FALSE)</f>
        <v>10.23</v>
      </c>
      <c r="D114" s="2">
        <f t="shared" si="10"/>
        <v>18.599999999999998</v>
      </c>
      <c r="E114" s="4">
        <f t="shared" si="6"/>
        <v>95.55396935966418</v>
      </c>
      <c r="F114">
        <f t="shared" si="7"/>
        <v>11800.090169999999</v>
      </c>
      <c r="G114">
        <f t="shared" si="8"/>
        <v>45.183889575000009</v>
      </c>
      <c r="H114">
        <f t="shared" si="9"/>
        <v>174.84107885149899</v>
      </c>
    </row>
    <row r="115" spans="1:8">
      <c r="A115">
        <v>60</v>
      </c>
      <c r="B115" t="s">
        <v>43</v>
      </c>
      <c r="C115" s="2">
        <f>VLOOKUP($B115,'Hemery-Variabelen'!$A$5:$C$16,3,FALSE)*(Hemery_onder_elkaar!A115/100)+VLOOKUP($B115,'Hemery-Variabelen'!$A$5:$C$16,2,FALSE)</f>
        <v>11</v>
      </c>
      <c r="D115" s="2">
        <f t="shared" si="10"/>
        <v>18.333333333333336</v>
      </c>
      <c r="E115" s="4">
        <f t="shared" si="6"/>
        <v>82.644628099173559</v>
      </c>
      <c r="F115">
        <f t="shared" si="7"/>
        <v>12506.358333333334</v>
      </c>
      <c r="G115">
        <f t="shared" si="8"/>
        <v>56.991</v>
      </c>
      <c r="H115">
        <f t="shared" si="9"/>
        <v>138.61837834043973</v>
      </c>
    </row>
    <row r="116" spans="1:8">
      <c r="A116">
        <v>65</v>
      </c>
      <c r="B116" t="s">
        <v>43</v>
      </c>
      <c r="C116" s="2">
        <f>VLOOKUP($B116,'Hemery-Variabelen'!$A$5:$C$16,3,FALSE)*(Hemery_onder_elkaar!A116/100)+VLOOKUP($B116,'Hemery-Variabelen'!$A$5:$C$16,2,FALSE)</f>
        <v>11.77</v>
      </c>
      <c r="D116" s="2">
        <f t="shared" si="10"/>
        <v>18.107692307692307</v>
      </c>
      <c r="E116" s="4">
        <f t="shared" si="6"/>
        <v>72.185018865554696</v>
      </c>
      <c r="F116">
        <f t="shared" si="7"/>
        <v>13217.104297692307</v>
      </c>
      <c r="G116">
        <f t="shared" si="8"/>
        <v>70.686412224999998</v>
      </c>
      <c r="H116">
        <f t="shared" si="9"/>
        <v>111.76122470120177</v>
      </c>
    </row>
    <row r="117" spans="1:8">
      <c r="A117">
        <v>70</v>
      </c>
      <c r="B117" t="s">
        <v>43</v>
      </c>
      <c r="C117" s="2">
        <f>VLOOKUP($B117,'Hemery-Variabelen'!$A$5:$C$16,3,FALSE)*(Hemery_onder_elkaar!A117/100)+VLOOKUP($B117,'Hemery-Variabelen'!$A$5:$C$16,2,FALSE)</f>
        <v>12.54</v>
      </c>
      <c r="D117" s="2">
        <f t="shared" si="10"/>
        <v>17.914285714285715</v>
      </c>
      <c r="E117" s="4">
        <f t="shared" si="6"/>
        <v>63.592357724818072</v>
      </c>
      <c r="F117">
        <f t="shared" si="7"/>
        <v>13931.368534285713</v>
      </c>
      <c r="G117">
        <f t="shared" si="8"/>
        <v>86.409754199999981</v>
      </c>
      <c r="H117">
        <f t="shared" si="9"/>
        <v>91.424863699010515</v>
      </c>
    </row>
    <row r="118" spans="1:8">
      <c r="A118">
        <v>75</v>
      </c>
      <c r="B118" t="s">
        <v>43</v>
      </c>
      <c r="C118" s="2">
        <f>VLOOKUP($B118,'Hemery-Variabelen'!$A$5:$C$16,3,FALSE)*(Hemery_onder_elkaar!A118/100)+VLOOKUP($B118,'Hemery-Variabelen'!$A$5:$C$16,2,FALSE)</f>
        <v>13.31</v>
      </c>
      <c r="D118" s="2">
        <f t="shared" si="10"/>
        <v>17.746666666666666</v>
      </c>
      <c r="E118" s="4">
        <f t="shared" si="6"/>
        <v>56.447393005377741</v>
      </c>
      <c r="F118">
        <f t="shared" si="7"/>
        <v>14648.447388666669</v>
      </c>
      <c r="G118">
        <f t="shared" si="8"/>
        <v>104.30065387500001</v>
      </c>
      <c r="H118">
        <f t="shared" si="9"/>
        <v>75.742574053925125</v>
      </c>
    </row>
    <row r="119" spans="1:8">
      <c r="A119">
        <v>80</v>
      </c>
      <c r="B119" t="s">
        <v>43</v>
      </c>
      <c r="C119" s="2">
        <f>VLOOKUP($B119,'Hemery-Variabelen'!$A$5:$C$16,3,FALSE)*(Hemery_onder_elkaar!A119/100)+VLOOKUP($B119,'Hemery-Variabelen'!$A$5:$C$16,2,FALSE)</f>
        <v>14.08</v>
      </c>
      <c r="D119" s="2">
        <f t="shared" si="10"/>
        <v>17.599999999999998</v>
      </c>
      <c r="E119" s="4">
        <f t="shared" si="6"/>
        <v>50.442277892561982</v>
      </c>
      <c r="F119">
        <f t="shared" si="7"/>
        <v>15367.813119999999</v>
      </c>
      <c r="G119">
        <f t="shared" si="8"/>
        <v>124.49873920000002</v>
      </c>
      <c r="H119">
        <f t="shared" si="9"/>
        <v>63.454457858477646</v>
      </c>
    </row>
    <row r="120" spans="1:8">
      <c r="A120">
        <v>10</v>
      </c>
      <c r="B120" t="s">
        <v>44</v>
      </c>
      <c r="C120" s="2">
        <f>VLOOKUP($B120,'Hemery-Variabelen'!$A$5:$C$16,3,FALSE)*(Hemery_onder_elkaar!A120/100)+VLOOKUP($B120,'Hemery-Variabelen'!$A$5:$C$16,2,FALSE)</f>
        <v>3.2789200000000003</v>
      </c>
      <c r="D120" s="2">
        <f t="shared" si="10"/>
        <v>32.789200000000001</v>
      </c>
      <c r="E120" s="4">
        <f t="shared" si="6"/>
        <v>930.11866260879333</v>
      </c>
      <c r="F120">
        <f t="shared" si="7"/>
        <v>6667.4288446229612</v>
      </c>
      <c r="G120">
        <f t="shared" si="8"/>
        <v>0.84397833476240014</v>
      </c>
      <c r="H120">
        <f t="shared" si="9"/>
        <v>9360.4298530056894</v>
      </c>
    </row>
    <row r="121" spans="1:8">
      <c r="A121">
        <v>15</v>
      </c>
      <c r="B121" t="s">
        <v>44</v>
      </c>
      <c r="C121" s="2">
        <f>VLOOKUP($B121,'Hemery-Variabelen'!$A$5:$C$16,3,FALSE)*(Hemery_onder_elkaar!A121/100)+VLOOKUP($B121,'Hemery-Variabelen'!$A$5:$C$16,2,FALSE)</f>
        <v>4.0597149999999997</v>
      </c>
      <c r="D121" s="2">
        <f t="shared" si="10"/>
        <v>27.064766666666667</v>
      </c>
      <c r="E121" s="4">
        <f t="shared" si="6"/>
        <v>606.7487738557893</v>
      </c>
      <c r="F121">
        <f t="shared" si="7"/>
        <v>6813.9129594944543</v>
      </c>
      <c r="G121">
        <f t="shared" si="8"/>
        <v>1.9406714125142437</v>
      </c>
      <c r="H121">
        <f t="shared" si="9"/>
        <v>4070.7561048498815</v>
      </c>
    </row>
    <row r="122" spans="1:8">
      <c r="A122">
        <v>20</v>
      </c>
      <c r="B122" t="s">
        <v>44</v>
      </c>
      <c r="C122" s="2">
        <f>VLOOKUP($B122,'Hemery-Variabelen'!$A$5:$C$16,3,FALSE)*(Hemery_onder_elkaar!A122/100)+VLOOKUP($B122,'Hemery-Variabelen'!$A$5:$C$16,2,FALSE)</f>
        <v>4.8405100000000001</v>
      </c>
      <c r="D122" s="2">
        <f t="shared" si="10"/>
        <v>24.202549999999999</v>
      </c>
      <c r="E122" s="4">
        <f t="shared" si="6"/>
        <v>426.79346078793299</v>
      </c>
      <c r="F122">
        <f t="shared" si="7"/>
        <v>7265.2237789105084</v>
      </c>
      <c r="G122">
        <f t="shared" si="8"/>
        <v>3.6785943184357004</v>
      </c>
      <c r="H122">
        <f t="shared" si="9"/>
        <v>2147.5594523724012</v>
      </c>
    </row>
    <row r="123" spans="1:8">
      <c r="A123">
        <v>25</v>
      </c>
      <c r="B123" t="s">
        <v>44</v>
      </c>
      <c r="C123" s="2">
        <f>VLOOKUP($B123,'Hemery-Variabelen'!$A$5:$C$16,3,FALSE)*(Hemery_onder_elkaar!A123/100)+VLOOKUP($B123,'Hemery-Variabelen'!$A$5:$C$16,2,FALSE)</f>
        <v>5.6213049999999996</v>
      </c>
      <c r="D123" s="2">
        <f t="shared" si="10"/>
        <v>22.485219999999998</v>
      </c>
      <c r="E123" s="4">
        <f t="shared" si="6"/>
        <v>316.46501085915492</v>
      </c>
      <c r="F123">
        <f t="shared" si="7"/>
        <v>7838.4652801443799</v>
      </c>
      <c r="G123">
        <f t="shared" si="8"/>
        <v>6.2013174684686554</v>
      </c>
      <c r="H123">
        <f t="shared" si="9"/>
        <v>1273.9228462610567</v>
      </c>
    </row>
    <row r="124" spans="1:8">
      <c r="A124">
        <v>30</v>
      </c>
      <c r="B124" t="s">
        <v>44</v>
      </c>
      <c r="C124" s="2">
        <f>VLOOKUP($B124,'Hemery-Variabelen'!$A$5:$C$16,3,FALSE)*(Hemery_onder_elkaar!A124/100)+VLOOKUP($B124,'Hemery-Variabelen'!$A$5:$C$16,2,FALSE)</f>
        <v>6.402099999999999</v>
      </c>
      <c r="D124" s="2">
        <f t="shared" si="10"/>
        <v>21.34033333333333</v>
      </c>
      <c r="E124" s="4">
        <f t="shared" si="6"/>
        <v>243.98048653730308</v>
      </c>
      <c r="F124">
        <f t="shared" si="7"/>
        <v>8472.6721222871638</v>
      </c>
      <c r="G124">
        <f t="shared" si="8"/>
        <v>9.6524112785549967</v>
      </c>
      <c r="H124">
        <f t="shared" si="9"/>
        <v>818.44834125040109</v>
      </c>
    </row>
    <row r="125" spans="1:8">
      <c r="A125">
        <v>35</v>
      </c>
      <c r="B125" t="s">
        <v>44</v>
      </c>
      <c r="C125" s="2">
        <f>VLOOKUP($B125,'Hemery-Variabelen'!$A$5:$C$16,3,FALSE)*(Hemery_onder_elkaar!A125/100)+VLOOKUP($B125,'Hemery-Variabelen'!$A$5:$C$16,2,FALSE)</f>
        <v>7.1828950000000003</v>
      </c>
      <c r="D125" s="2">
        <f t="shared" si="10"/>
        <v>20.522557142857146</v>
      </c>
      <c r="E125" s="4">
        <f t="shared" si="6"/>
        <v>193.82105988693095</v>
      </c>
      <c r="F125">
        <f t="shared" si="7"/>
        <v>9141.7163020921871</v>
      </c>
      <c r="G125">
        <f t="shared" si="8"/>
        <v>14.175446164636618</v>
      </c>
      <c r="H125">
        <f t="shared" si="9"/>
        <v>557.30168265941938</v>
      </c>
    </row>
    <row r="126" spans="1:8">
      <c r="A126">
        <v>40</v>
      </c>
      <c r="B126" t="s">
        <v>44</v>
      </c>
      <c r="C126" s="2">
        <f>VLOOKUP($B126,'Hemery-Variabelen'!$A$5:$C$16,3,FALSE)*(Hemery_onder_elkaar!A126/100)+VLOOKUP($B126,'Hemery-Variabelen'!$A$5:$C$16,2,FALSE)</f>
        <v>7.9636899999999997</v>
      </c>
      <c r="D126" s="2">
        <f t="shared" si="10"/>
        <v>19.909224999999999</v>
      </c>
      <c r="E126" s="4">
        <f t="shared" si="6"/>
        <v>157.67807451339448</v>
      </c>
      <c r="F126">
        <f t="shared" si="7"/>
        <v>9832.5338179361024</v>
      </c>
      <c r="G126">
        <f t="shared" si="8"/>
        <v>19.9139925426554</v>
      </c>
      <c r="H126">
        <f t="shared" si="9"/>
        <v>396.70598364834916</v>
      </c>
    </row>
    <row r="127" spans="1:8">
      <c r="A127">
        <v>45</v>
      </c>
      <c r="B127" t="s">
        <v>44</v>
      </c>
      <c r="C127" s="2">
        <f>VLOOKUP($B127,'Hemery-Variabelen'!$A$5:$C$16,3,FALSE)*(Hemery_onder_elkaar!A127/100)+VLOOKUP($B127,'Hemery-Variabelen'!$A$5:$C$16,2,FALSE)</f>
        <v>8.744485000000001</v>
      </c>
      <c r="D127" s="2">
        <f t="shared" si="10"/>
        <v>19.432188888888891</v>
      </c>
      <c r="E127" s="4">
        <f t="shared" si="6"/>
        <v>130.77704675411005</v>
      </c>
      <c r="F127">
        <f t="shared" si="7"/>
        <v>10537.866891139287</v>
      </c>
      <c r="G127">
        <f t="shared" si="8"/>
        <v>27.011620828553241</v>
      </c>
      <c r="H127">
        <f t="shared" si="9"/>
        <v>292.46671460933317</v>
      </c>
    </row>
    <row r="128" spans="1:8">
      <c r="A128">
        <v>50</v>
      </c>
      <c r="B128" t="s">
        <v>44</v>
      </c>
      <c r="C128" s="2">
        <f>VLOOKUP($B128,'Hemery-Variabelen'!$A$5:$C$16,3,FALSE)*(Hemery_onder_elkaar!A128/100)+VLOOKUP($B128,'Hemery-Variabelen'!$A$5:$C$16,2,FALSE)</f>
        <v>9.5252800000000004</v>
      </c>
      <c r="D128" s="2">
        <f t="shared" si="10"/>
        <v>19.050560000000001</v>
      </c>
      <c r="E128" s="4">
        <f t="shared" si="6"/>
        <v>110.21596268324539</v>
      </c>
      <c r="F128">
        <f t="shared" si="7"/>
        <v>11253.360854493954</v>
      </c>
      <c r="G128">
        <f t="shared" si="8"/>
        <v>35.611901438272007</v>
      </c>
      <c r="H128">
        <f t="shared" si="9"/>
        <v>221.83595036882511</v>
      </c>
    </row>
    <row r="129" spans="1:8">
      <c r="A129">
        <v>55</v>
      </c>
      <c r="B129" t="s">
        <v>44</v>
      </c>
      <c r="C129" s="2">
        <f>VLOOKUP($B129,'Hemery-Variabelen'!$A$5:$C$16,3,FALSE)*(Hemery_onder_elkaar!A129/100)+VLOOKUP($B129,'Hemery-Variabelen'!$A$5:$C$16,2,FALSE)</f>
        <v>10.306075000000002</v>
      </c>
      <c r="D129" s="2">
        <f t="shared" si="10"/>
        <v>18.738318181818183</v>
      </c>
      <c r="E129" s="4">
        <f t="shared" si="6"/>
        <v>94.148499494971091</v>
      </c>
      <c r="F129">
        <f t="shared" si="7"/>
        <v>11976.244556140611</v>
      </c>
      <c r="G129">
        <f t="shared" si="8"/>
        <v>45.858404787753614</v>
      </c>
      <c r="H129">
        <f t="shared" si="9"/>
        <v>172.2694026659575</v>
      </c>
    </row>
    <row r="130" spans="1:8">
      <c r="A130">
        <v>60</v>
      </c>
      <c r="B130" t="s">
        <v>44</v>
      </c>
      <c r="C130" s="2">
        <f>VLOOKUP($B130,'Hemery-Variabelen'!$A$5:$C$16,3,FALSE)*(Hemery_onder_elkaar!A130/100)+VLOOKUP($B130,'Hemery-Variabelen'!$A$5:$C$16,2,FALSE)</f>
        <v>11.086869999999999</v>
      </c>
      <c r="D130" s="2">
        <f t="shared" si="10"/>
        <v>18.478116666666665</v>
      </c>
      <c r="E130" s="4">
        <f t="shared" si="6"/>
        <v>81.354595408792136</v>
      </c>
      <c r="F130">
        <f t="shared" si="7"/>
        <v>12704.670561506255</v>
      </c>
      <c r="G130">
        <f t="shared" si="8"/>
        <v>57.894701292939899</v>
      </c>
      <c r="H130">
        <f t="shared" si="9"/>
        <v>136.4546292419231</v>
      </c>
    </row>
    <row r="131" spans="1:8">
      <c r="A131">
        <v>65</v>
      </c>
      <c r="B131" t="s">
        <v>44</v>
      </c>
      <c r="C131" s="2">
        <f>VLOOKUP($B131,'Hemery-Variabelen'!$A$5:$C$16,3,FALSE)*(Hemery_onder_elkaar!A131/100)+VLOOKUP($B131,'Hemery-Variabelen'!$A$5:$C$16,2,FALSE)</f>
        <v>11.867665000000001</v>
      </c>
      <c r="D131" s="2">
        <f t="shared" si="10"/>
        <v>18.257946153846156</v>
      </c>
      <c r="E131" s="4">
        <f t="shared" ref="E131:E156" si="11">10^4/C131^2</f>
        <v>71.001813732754954</v>
      </c>
      <c r="F131">
        <f t="shared" ref="F131:F156" si="12">10000*79%/A131*C131^2*0.785</f>
        <v>13437.359877424977</v>
      </c>
      <c r="G131">
        <f t="shared" ref="G131:G156" si="13">A131/100*C131^2*0.785</f>
        <v>71.864361369772809</v>
      </c>
      <c r="H131">
        <f t="shared" ref="H131:H156" si="14">7900/G131</f>
        <v>109.92931474547069</v>
      </c>
    </row>
    <row r="132" spans="1:8">
      <c r="A132">
        <v>70</v>
      </c>
      <c r="B132" t="s">
        <v>44</v>
      </c>
      <c r="C132" s="2">
        <f>VLOOKUP($B132,'Hemery-Variabelen'!$A$5:$C$16,3,FALSE)*(Hemery_onder_elkaar!A132/100)+VLOOKUP($B132,'Hemery-Variabelen'!$A$5:$C$16,2,FALSE)</f>
        <v>12.64846</v>
      </c>
      <c r="D132" s="2">
        <f t="shared" si="10"/>
        <v>18.069228571428571</v>
      </c>
      <c r="E132" s="4">
        <f t="shared" si="11"/>
        <v>62.506430203836032</v>
      </c>
      <c r="F132">
        <f t="shared" si="12"/>
        <v>14173.398937349681</v>
      </c>
      <c r="G132">
        <f t="shared" si="13"/>
        <v>87.910955434194207</v>
      </c>
      <c r="H132">
        <f t="shared" si="14"/>
        <v>89.863657617889828</v>
      </c>
    </row>
    <row r="133" spans="1:8">
      <c r="A133">
        <v>75</v>
      </c>
      <c r="B133" t="s">
        <v>44</v>
      </c>
      <c r="C133" s="2">
        <f>VLOOKUP($B133,'Hemery-Variabelen'!$A$5:$C$16,3,FALSE)*(Hemery_onder_elkaar!A133/100)+VLOOKUP($B133,'Hemery-Variabelen'!$A$5:$C$16,2,FALSE)</f>
        <v>13.429255000000001</v>
      </c>
      <c r="D133" s="2">
        <f t="shared" si="10"/>
        <v>17.905673333333336</v>
      </c>
      <c r="E133" s="4">
        <f t="shared" si="11"/>
        <v>55.449311638598481</v>
      </c>
      <c r="F133">
        <f t="shared" si="12"/>
        <v>14912.11779247917</v>
      </c>
      <c r="G133">
        <f t="shared" si="13"/>
        <v>106.17805390214599</v>
      </c>
      <c r="H133">
        <f t="shared" si="14"/>
        <v>74.403322623342333</v>
      </c>
    </row>
    <row r="134" spans="1:8">
      <c r="A134">
        <v>80</v>
      </c>
      <c r="B134" t="s">
        <v>44</v>
      </c>
      <c r="C134" s="2">
        <f>VLOOKUP($B134,'Hemery-Variabelen'!$A$5:$C$16,3,FALSE)*(Hemery_onder_elkaar!A134/100)+VLOOKUP($B134,'Hemery-Variabelen'!$A$5:$C$16,2,FALSE)</f>
        <v>14.210050000000001</v>
      </c>
      <c r="D134" s="2">
        <f t="shared" si="10"/>
        <v>17.762562500000001</v>
      </c>
      <c r="E134" s="4">
        <f t="shared" si="11"/>
        <v>49.523210094261387</v>
      </c>
      <c r="F134">
        <f t="shared" si="12"/>
        <v>15653.013981212549</v>
      </c>
      <c r="G134">
        <f t="shared" si="13"/>
        <v>126.80922718957004</v>
      </c>
      <c r="H134">
        <f t="shared" si="14"/>
        <v>62.298305691825625</v>
      </c>
    </row>
    <row r="135" spans="1:8">
      <c r="A135">
        <v>10</v>
      </c>
      <c r="B135" t="s">
        <v>46</v>
      </c>
      <c r="C135" s="2">
        <f>VLOOKUP($B135,'Hemery-Variabelen'!$A$5:$C$16,3,FALSE)*(Hemery_onder_elkaar!A135/100)+VLOOKUP($B135,'Hemery-Variabelen'!$A$5:$C$16,2,FALSE)</f>
        <v>2.9406600000000003</v>
      </c>
      <c r="D135" s="2">
        <f t="shared" si="10"/>
        <v>29.406600000000001</v>
      </c>
      <c r="E135" s="4">
        <f t="shared" si="11"/>
        <v>1156.4060941620714</v>
      </c>
      <c r="F135">
        <f t="shared" si="12"/>
        <v>5362.7354882573409</v>
      </c>
      <c r="G135">
        <f t="shared" si="13"/>
        <v>0.6788272769946001</v>
      </c>
      <c r="H135">
        <f t="shared" si="14"/>
        <v>11637.717380739317</v>
      </c>
    </row>
    <row r="136" spans="1:8">
      <c r="A136">
        <v>15</v>
      </c>
      <c r="B136" t="s">
        <v>46</v>
      </c>
      <c r="C136" s="2">
        <f>VLOOKUP($B136,'Hemery-Variabelen'!$A$5:$C$16,3,FALSE)*(Hemery_onder_elkaar!A136/100)+VLOOKUP($B136,'Hemery-Variabelen'!$A$5:$C$16,2,FALSE)</f>
        <v>3.8631099999999998</v>
      </c>
      <c r="D136" s="2">
        <f t="shared" si="10"/>
        <v>25.754066666666667</v>
      </c>
      <c r="E136" s="4">
        <f t="shared" si="11"/>
        <v>670.07875808830784</v>
      </c>
      <c r="F136">
        <f t="shared" si="12"/>
        <v>6169.9214956885426</v>
      </c>
      <c r="G136">
        <f t="shared" si="13"/>
        <v>1.7572561221897749</v>
      </c>
      <c r="H136">
        <f t="shared" si="14"/>
        <v>4495.645171038328</v>
      </c>
    </row>
    <row r="137" spans="1:8">
      <c r="A137">
        <v>20</v>
      </c>
      <c r="B137" t="s">
        <v>46</v>
      </c>
      <c r="C137" s="2">
        <f>VLOOKUP($B137,'Hemery-Variabelen'!$A$5:$C$16,3,FALSE)*(Hemery_onder_elkaar!A137/100)+VLOOKUP($B137,'Hemery-Variabelen'!$A$5:$C$16,2,FALSE)</f>
        <v>4.7855600000000003</v>
      </c>
      <c r="D137" s="2">
        <f t="shared" si="10"/>
        <v>23.927800000000001</v>
      </c>
      <c r="E137" s="4">
        <f t="shared" si="11"/>
        <v>436.65100963042732</v>
      </c>
      <c r="F137">
        <f t="shared" si="12"/>
        <v>7101.2088180545215</v>
      </c>
      <c r="G137">
        <f t="shared" si="13"/>
        <v>3.5955487686352008</v>
      </c>
      <c r="H137">
        <f t="shared" si="14"/>
        <v>2197.1611312613859</v>
      </c>
    </row>
    <row r="138" spans="1:8">
      <c r="A138">
        <v>25</v>
      </c>
      <c r="B138" t="s">
        <v>46</v>
      </c>
      <c r="C138" s="2">
        <f>VLOOKUP($B138,'Hemery-Variabelen'!$A$5:$C$16,3,FALSE)*(Hemery_onder_elkaar!A138/100)+VLOOKUP($B138,'Hemery-Variabelen'!$A$5:$C$16,2,FALSE)</f>
        <v>5.7080100000000007</v>
      </c>
      <c r="D138" s="2">
        <f t="shared" si="10"/>
        <v>22.832040000000003</v>
      </c>
      <c r="E138" s="4">
        <f t="shared" si="11"/>
        <v>306.92378790306225</v>
      </c>
      <c r="F138">
        <f t="shared" si="12"/>
        <v>8082.1366663944082</v>
      </c>
      <c r="G138">
        <f t="shared" si="13"/>
        <v>6.3940954639196272</v>
      </c>
      <c r="H138">
        <f t="shared" si="14"/>
        <v>1235.5148659537283</v>
      </c>
    </row>
    <row r="139" spans="1:8">
      <c r="A139">
        <v>30</v>
      </c>
      <c r="B139" t="s">
        <v>46</v>
      </c>
      <c r="C139" s="2">
        <f>VLOOKUP($B139,'Hemery-Variabelen'!$A$5:$C$16,3,FALSE)*(Hemery_onder_elkaar!A139/100)+VLOOKUP($B139,'Hemery-Variabelen'!$A$5:$C$16,2,FALSE)</f>
        <v>6.6304600000000002</v>
      </c>
      <c r="D139" s="2">
        <f t="shared" si="10"/>
        <v>22.101533333333336</v>
      </c>
      <c r="E139" s="4">
        <f t="shared" si="11"/>
        <v>227.46400479617444</v>
      </c>
      <c r="F139">
        <f t="shared" si="12"/>
        <v>9087.8847777212486</v>
      </c>
      <c r="G139">
        <f t="shared" si="13"/>
        <v>10.353286455631801</v>
      </c>
      <c r="H139">
        <f t="shared" si="14"/>
        <v>763.04273371115846</v>
      </c>
    </row>
    <row r="140" spans="1:8">
      <c r="A140">
        <v>35</v>
      </c>
      <c r="B140" t="s">
        <v>46</v>
      </c>
      <c r="C140" s="2">
        <f>VLOOKUP($B140,'Hemery-Variabelen'!$A$5:$C$16,3,FALSE)*(Hemery_onder_elkaar!A140/100)+VLOOKUP($B140,'Hemery-Variabelen'!$A$5:$C$16,2,FALSE)</f>
        <v>7.5529100000000007</v>
      </c>
      <c r="D140" s="2">
        <f t="shared" si="10"/>
        <v>21.579742857142861</v>
      </c>
      <c r="E140" s="4">
        <f t="shared" si="11"/>
        <v>175.29574746964636</v>
      </c>
      <c r="F140">
        <f t="shared" si="12"/>
        <v>10107.815896469207</v>
      </c>
      <c r="G140">
        <f t="shared" si="13"/>
        <v>15.673511991360476</v>
      </c>
      <c r="H140">
        <f t="shared" si="14"/>
        <v>504.03508826577115</v>
      </c>
    </row>
    <row r="141" spans="1:8">
      <c r="A141">
        <v>40</v>
      </c>
      <c r="B141" t="s">
        <v>46</v>
      </c>
      <c r="C141" s="2">
        <f>VLOOKUP($B141,'Hemery-Variabelen'!$A$5:$C$16,3,FALSE)*(Hemery_onder_elkaar!A141/100)+VLOOKUP($B141,'Hemery-Variabelen'!$A$5:$C$16,2,FALSE)</f>
        <v>8.4753600000000002</v>
      </c>
      <c r="D141" s="2">
        <f t="shared" si="10"/>
        <v>21.188399999999998</v>
      </c>
      <c r="E141" s="4">
        <f t="shared" si="11"/>
        <v>139.2142497417309</v>
      </c>
      <c r="F141">
        <f t="shared" si="12"/>
        <v>11136.611394855359</v>
      </c>
      <c r="G141">
        <f t="shared" si="13"/>
        <v>22.555162318694403</v>
      </c>
      <c r="H141">
        <f t="shared" si="14"/>
        <v>350.25241177059678</v>
      </c>
    </row>
    <row r="142" spans="1:8">
      <c r="A142">
        <v>10</v>
      </c>
      <c r="B142" t="s">
        <v>45</v>
      </c>
      <c r="C142" s="2">
        <f>VLOOKUP($B142,'Hemery-Variabelen'!$A$5:$C$16,3,FALSE)*(Hemery_onder_elkaar!A142/100)+VLOOKUP($B142,'Hemery-Variabelen'!$A$5:$C$16,2,FALSE)</f>
        <v>3.4033600000000002</v>
      </c>
      <c r="D142" s="2">
        <f t="shared" ref="D142:D156" si="15">C142/(A142/100)</f>
        <v>34.0336</v>
      </c>
      <c r="E142" s="4">
        <f t="shared" si="11"/>
        <v>863.34468458740434</v>
      </c>
      <c r="F142">
        <f t="shared" si="12"/>
        <v>7183.1101884454411</v>
      </c>
      <c r="G142">
        <f t="shared" si="13"/>
        <v>0.9092544542336003</v>
      </c>
      <c r="H142">
        <f t="shared" si="14"/>
        <v>8688.4369531726024</v>
      </c>
    </row>
    <row r="143" spans="1:8">
      <c r="A143">
        <v>15</v>
      </c>
      <c r="B143" t="s">
        <v>45</v>
      </c>
      <c r="C143" s="2">
        <f>VLOOKUP($B143,'Hemery-Variabelen'!$A$5:$C$16,3,FALSE)*(Hemery_onder_elkaar!A143/100)+VLOOKUP($B143,'Hemery-Variabelen'!$A$5:$C$16,2,FALSE)</f>
        <v>3.9753999999999996</v>
      </c>
      <c r="D143" s="2">
        <f t="shared" si="15"/>
        <v>26.502666666666666</v>
      </c>
      <c r="E143" s="4">
        <f t="shared" si="11"/>
        <v>632.75900321211009</v>
      </c>
      <c r="F143">
        <f t="shared" si="12"/>
        <v>6533.8198466493313</v>
      </c>
      <c r="G143">
        <f t="shared" si="13"/>
        <v>1.8608980575899996</v>
      </c>
      <c r="H143">
        <f t="shared" si="14"/>
        <v>4245.2621022298681</v>
      </c>
    </row>
    <row r="144" spans="1:8">
      <c r="A144">
        <v>20</v>
      </c>
      <c r="B144" t="s">
        <v>45</v>
      </c>
      <c r="C144" s="2">
        <f>VLOOKUP($B144,'Hemery-Variabelen'!$A$5:$C$16,3,FALSE)*(Hemery_onder_elkaar!A144/100)+VLOOKUP($B144,'Hemery-Variabelen'!$A$5:$C$16,2,FALSE)</f>
        <v>4.5474399999999999</v>
      </c>
      <c r="D144" s="2">
        <f t="shared" si="15"/>
        <v>22.737199999999998</v>
      </c>
      <c r="E144" s="4">
        <f t="shared" si="11"/>
        <v>483.57745447198033</v>
      </c>
      <c r="F144">
        <f t="shared" si="12"/>
        <v>6412.1062124075206</v>
      </c>
      <c r="G144">
        <f t="shared" si="13"/>
        <v>3.2466360569152006</v>
      </c>
      <c r="H144">
        <f t="shared" si="14"/>
        <v>2433.2878282348051</v>
      </c>
    </row>
    <row r="145" spans="1:8">
      <c r="A145">
        <v>25</v>
      </c>
      <c r="B145" t="s">
        <v>45</v>
      </c>
      <c r="C145" s="2">
        <f>VLOOKUP($B145,'Hemery-Variabelen'!$A$5:$C$16,3,FALSE)*(Hemery_onder_elkaar!A145/100)+VLOOKUP($B145,'Hemery-Variabelen'!$A$5:$C$16,2,FALSE)</f>
        <v>5.1194799999999994</v>
      </c>
      <c r="D145" s="2">
        <f t="shared" si="15"/>
        <v>20.477919999999997</v>
      </c>
      <c r="E145" s="4">
        <f t="shared" si="11"/>
        <v>381.54722440682042</v>
      </c>
      <c r="F145">
        <f t="shared" si="12"/>
        <v>6501.4232611874231</v>
      </c>
      <c r="G145">
        <f t="shared" si="13"/>
        <v>5.1435310610659988</v>
      </c>
      <c r="H145">
        <f t="shared" si="14"/>
        <v>1535.9098460198122</v>
      </c>
    </row>
    <row r="146" spans="1:8">
      <c r="A146">
        <v>30</v>
      </c>
      <c r="B146" t="s">
        <v>45</v>
      </c>
      <c r="C146" s="2">
        <f>VLOOKUP($B146,'Hemery-Variabelen'!$A$5:$C$16,3,FALSE)*(Hemery_onder_elkaar!A146/100)+VLOOKUP($B146,'Hemery-Variabelen'!$A$5:$C$16,2,FALSE)</f>
        <v>5.6915199999999997</v>
      </c>
      <c r="D146" s="2">
        <f t="shared" si="15"/>
        <v>18.971733333333333</v>
      </c>
      <c r="E146" s="4">
        <f t="shared" si="11"/>
        <v>308.70486048577658</v>
      </c>
      <c r="F146">
        <f t="shared" si="12"/>
        <v>6696.2556514781863</v>
      </c>
      <c r="G146">
        <f t="shared" si="13"/>
        <v>7.6286456788991996</v>
      </c>
      <c r="H146">
        <f t="shared" si="14"/>
        <v>1035.570444941671</v>
      </c>
    </row>
    <row r="147" spans="1:8">
      <c r="A147">
        <v>35</v>
      </c>
      <c r="B147" t="s">
        <v>45</v>
      </c>
      <c r="C147" s="2">
        <f>VLOOKUP($B147,'Hemery-Variabelen'!$A$5:$C$16,3,FALSE)*(Hemery_onder_elkaar!A147/100)+VLOOKUP($B147,'Hemery-Variabelen'!$A$5:$C$16,2,FALSE)</f>
        <v>6.26356</v>
      </c>
      <c r="D147" s="2">
        <f t="shared" si="15"/>
        <v>17.895885714285715</v>
      </c>
      <c r="E147" s="4">
        <f t="shared" si="11"/>
        <v>254.8927694725954</v>
      </c>
      <c r="F147">
        <f t="shared" si="12"/>
        <v>6951.3825226322979</v>
      </c>
      <c r="G147">
        <f t="shared" si="13"/>
        <v>10.779042519271599</v>
      </c>
      <c r="H147">
        <f t="shared" si="14"/>
        <v>732.90368656360477</v>
      </c>
    </row>
    <row r="148" spans="1:8">
      <c r="A148">
        <v>40</v>
      </c>
      <c r="B148" t="s">
        <v>45</v>
      </c>
      <c r="C148" s="2">
        <f>VLOOKUP($B148,'Hemery-Variabelen'!$A$5:$C$16,3,FALSE)*(Hemery_onder_elkaar!A148/100)+VLOOKUP($B148,'Hemery-Variabelen'!$A$5:$C$16,2,FALSE)</f>
        <v>6.8355999999999995</v>
      </c>
      <c r="D148" s="2">
        <f t="shared" si="15"/>
        <v>17.088999999999999</v>
      </c>
      <c r="E148" s="4">
        <f t="shared" si="11"/>
        <v>214.01623409357302</v>
      </c>
      <c r="F148">
        <f t="shared" si="12"/>
        <v>7244.1934443259988</v>
      </c>
      <c r="G148">
        <f t="shared" si="13"/>
        <v>14.671784191039999</v>
      </c>
      <c r="H148">
        <f t="shared" si="14"/>
        <v>538.4484870507091</v>
      </c>
    </row>
    <row r="149" spans="1:8">
      <c r="A149">
        <v>45</v>
      </c>
      <c r="B149" t="s">
        <v>45</v>
      </c>
      <c r="C149" s="2">
        <f>VLOOKUP($B149,'Hemery-Variabelen'!$A$5:$C$16,3,FALSE)*(Hemery_onder_elkaar!A149/100)+VLOOKUP($B149,'Hemery-Variabelen'!$A$5:$C$16,2,FALSE)</f>
        <v>7.4076400000000007</v>
      </c>
      <c r="D149" s="2">
        <f t="shared" si="15"/>
        <v>16.461422222222222</v>
      </c>
      <c r="E149" s="4">
        <f t="shared" si="11"/>
        <v>182.23855523905101</v>
      </c>
      <c r="F149">
        <f t="shared" si="12"/>
        <v>7562.1270663794321</v>
      </c>
      <c r="G149">
        <f t="shared" si="13"/>
        <v>19.383933303061205</v>
      </c>
      <c r="H149">
        <f t="shared" si="14"/>
        <v>407.55402303991593</v>
      </c>
    </row>
    <row r="150" spans="1:8">
      <c r="A150">
        <v>50</v>
      </c>
      <c r="B150" t="s">
        <v>45</v>
      </c>
      <c r="C150" s="2">
        <f>VLOOKUP($B150,'Hemery-Variabelen'!$A$5:$C$16,3,FALSE)*(Hemery_onder_elkaar!A150/100)+VLOOKUP($B150,'Hemery-Variabelen'!$A$5:$C$16,2,FALSE)</f>
        <v>7.9796800000000001</v>
      </c>
      <c r="D150" s="2">
        <f t="shared" si="15"/>
        <v>15.95936</v>
      </c>
      <c r="E150" s="4">
        <f t="shared" si="11"/>
        <v>157.04678446203249</v>
      </c>
      <c r="F150">
        <f t="shared" si="12"/>
        <v>7897.6465786846729</v>
      </c>
      <c r="G150">
        <f t="shared" si="13"/>
        <v>24.992552464192002</v>
      </c>
      <c r="H150">
        <f t="shared" si="14"/>
        <v>316.09416490447302</v>
      </c>
    </row>
    <row r="151" spans="1:8">
      <c r="A151">
        <v>55</v>
      </c>
      <c r="B151" t="s">
        <v>45</v>
      </c>
      <c r="C151" s="2">
        <f>VLOOKUP($B151,'Hemery-Variabelen'!$A$5:$C$16,3,FALSE)*(Hemery_onder_elkaar!A151/100)+VLOOKUP($B151,'Hemery-Variabelen'!$A$5:$C$16,2,FALSE)</f>
        <v>8.5517199999999995</v>
      </c>
      <c r="D151" s="2">
        <f t="shared" si="15"/>
        <v>15.548581818181816</v>
      </c>
      <c r="E151" s="4">
        <f t="shared" si="11"/>
        <v>136.73920620960564</v>
      </c>
      <c r="F151">
        <f t="shared" si="12"/>
        <v>8245.9558293548635</v>
      </c>
      <c r="G151">
        <f t="shared" si="13"/>
        <v>31.574704283289197</v>
      </c>
      <c r="H151">
        <f t="shared" si="14"/>
        <v>250.20028466841566</v>
      </c>
    </row>
    <row r="152" spans="1:8">
      <c r="A152">
        <v>60</v>
      </c>
      <c r="B152" t="s">
        <v>45</v>
      </c>
      <c r="C152" s="2">
        <f>VLOOKUP($B152,'Hemery-Variabelen'!$A$5:$C$16,3,FALSE)*(Hemery_onder_elkaar!A152/100)+VLOOKUP($B152,'Hemery-Variabelen'!$A$5:$C$16,2,FALSE)</f>
        <v>9.123759999999999</v>
      </c>
      <c r="D152" s="2">
        <f t="shared" si="15"/>
        <v>15.206266666666666</v>
      </c>
      <c r="E152" s="4">
        <f t="shared" si="11"/>
        <v>120.13022615642033</v>
      </c>
      <c r="F152">
        <f t="shared" si="12"/>
        <v>8603.8573837987715</v>
      </c>
      <c r="G152">
        <f t="shared" si="13"/>
        <v>39.207451369209586</v>
      </c>
      <c r="H152">
        <f t="shared" si="14"/>
        <v>201.49231138762647</v>
      </c>
    </row>
    <row r="153" spans="1:8">
      <c r="A153">
        <v>65</v>
      </c>
      <c r="B153" t="s">
        <v>45</v>
      </c>
      <c r="C153" s="2">
        <f>VLOOKUP($B153,'Hemery-Variabelen'!$A$5:$C$16,3,FALSE)*(Hemery_onder_elkaar!A153/100)+VLOOKUP($B153,'Hemery-Variabelen'!$A$5:$C$16,2,FALSE)</f>
        <v>9.6958000000000002</v>
      </c>
      <c r="D153" s="2">
        <f t="shared" si="15"/>
        <v>14.916615384615385</v>
      </c>
      <c r="E153" s="4">
        <f t="shared" si="11"/>
        <v>106.37331726501687</v>
      </c>
      <c r="F153">
        <f t="shared" si="12"/>
        <v>8969.1376334532306</v>
      </c>
      <c r="G153">
        <f t="shared" si="13"/>
        <v>47.967856330810001</v>
      </c>
      <c r="H153">
        <f t="shared" si="14"/>
        <v>164.69362202716968</v>
      </c>
    </row>
    <row r="154" spans="1:8">
      <c r="A154">
        <v>70</v>
      </c>
      <c r="B154" t="s">
        <v>45</v>
      </c>
      <c r="C154" s="2">
        <f>VLOOKUP($B154,'Hemery-Variabelen'!$A$5:$C$16,3,FALSE)*(Hemery_onder_elkaar!A154/100)+VLOOKUP($B154,'Hemery-Variabelen'!$A$5:$C$16,2,FALSE)</f>
        <v>10.26784</v>
      </c>
      <c r="D154" s="2">
        <f t="shared" si="15"/>
        <v>14.668342857142857</v>
      </c>
      <c r="E154" s="4">
        <f t="shared" si="11"/>
        <v>94.850978345233059</v>
      </c>
      <c r="F154">
        <f t="shared" si="12"/>
        <v>9340.2154293445492</v>
      </c>
      <c r="G154">
        <f t="shared" si="13"/>
        <v>57.932981776947202</v>
      </c>
      <c r="H154">
        <f t="shared" si="14"/>
        <v>136.36446386302842</v>
      </c>
    </row>
    <row r="155" spans="1:8">
      <c r="A155">
        <v>75</v>
      </c>
      <c r="B155" t="s">
        <v>45</v>
      </c>
      <c r="C155" s="2">
        <f>VLOOKUP($B155,'Hemery-Variabelen'!$A$5:$C$16,3,FALSE)*(Hemery_onder_elkaar!A155/100)+VLOOKUP($B155,'Hemery-Variabelen'!$A$5:$C$16,2,FALSE)</f>
        <v>10.839880000000001</v>
      </c>
      <c r="D155" s="2">
        <f t="shared" si="15"/>
        <v>14.453173333333334</v>
      </c>
      <c r="E155" s="4">
        <f t="shared" si="11"/>
        <v>85.104211253680631</v>
      </c>
      <c r="F155">
        <f t="shared" si="12"/>
        <v>9715.9312622253565</v>
      </c>
      <c r="G155">
        <f t="shared" si="13"/>
        <v>69.179890316478009</v>
      </c>
      <c r="H155">
        <f t="shared" si="14"/>
        <v>114.19503505801734</v>
      </c>
    </row>
    <row r="156" spans="1:8">
      <c r="A156">
        <v>80</v>
      </c>
      <c r="B156" t="s">
        <v>45</v>
      </c>
      <c r="C156" s="2">
        <f>VLOOKUP($B156,'Hemery-Variabelen'!$A$5:$C$16,3,FALSE)*(Hemery_onder_elkaar!A156/100)+VLOOKUP($B156,'Hemery-Variabelen'!$A$5:$C$16,2,FALSE)</f>
        <v>11.41192</v>
      </c>
      <c r="D156" s="2">
        <f t="shared" si="15"/>
        <v>14.264899999999999</v>
      </c>
      <c r="E156" s="4">
        <f t="shared" si="11"/>
        <v>76.786091665836338</v>
      </c>
      <c r="F156">
        <f t="shared" si="12"/>
        <v>10095.415500160123</v>
      </c>
      <c r="G156">
        <f t="shared" si="13"/>
        <v>81.785644558259222</v>
      </c>
      <c r="H156">
        <f t="shared" si="14"/>
        <v>96.593968815303654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6</vt:i4>
      </vt:variant>
    </vt:vector>
  </HeadingPairs>
  <TitlesOfParts>
    <vt:vector size="6" baseType="lpstr">
      <vt:lpstr>Hasenauer</vt:lpstr>
      <vt:lpstr>Hasenauer-Variabelen</vt:lpstr>
      <vt:lpstr>Hein</vt:lpstr>
      <vt:lpstr>Hein_onder_elkaar</vt:lpstr>
      <vt:lpstr>Hemery-Variabelen</vt:lpstr>
      <vt:lpstr>Hemery_onder_elkaar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Etiënne Thomassen</dc:creator>
  <cp:lastModifiedBy>Etiënne Thomassen</cp:lastModifiedBy>
  <dcterms:created xsi:type="dcterms:W3CDTF">2014-04-18T09:30:25Z</dcterms:created>
  <dcterms:modified xsi:type="dcterms:W3CDTF">2014-06-21T09:45:11Z</dcterms:modified>
</cp:coreProperties>
</file>